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優化預算清單" sheetId="1" state="visible" r:id="rId1"/>
    <sheet xmlns:r="http://schemas.openxmlformats.org/officeDocument/2006/relationships" name="變更記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97D"/>
      <sz val="14"/>
    </font>
    <font>
      <i val="1"/>
      <color rgb="00595959"/>
      <sz val="10"/>
    </font>
    <font>
      <b val="1"/>
      <color rgb="00FFFFFF"/>
    </font>
    <font>
      <b val="1"/>
      <color rgb="001F497D"/>
      <sz val="11"/>
    </font>
    <font>
      <sz val="10"/>
    </font>
    <font>
      <b val="1"/>
    </font>
    <font>
      <b val="1"/>
      <color rgb="00C00000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E8E8E8"/>
      </patternFill>
    </fill>
    <fill>
      <patternFill patternType="solid">
        <fgColor rgb="00D9E1F2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0" fontId="4" fillId="4" borderId="1" pivotButton="0" quotePrefix="0" xfId="0"/>
    <xf numFmtId="0" fontId="0" fillId="4" borderId="1" pivotButton="0" quotePrefix="0" xfId="0"/>
    <xf numFmtId="0" fontId="4" fillId="5" borderId="1" pivotButton="0" quotePrefix="0" xfId="0"/>
    <xf numFmtId="0" fontId="0" fillId="5" borderId="1" pivotButton="0" quotePrefix="0" xfId="0"/>
    <xf numFmtId="0" fontId="4" fillId="6" borderId="1" pivotButton="0" quotePrefix="0" xfId="0"/>
    <xf numFmtId="0" fontId="0" fillId="6" borderId="1" pivotButton="0" quotePrefix="0" xfId="0"/>
    <xf numFmtId="0" fontId="4" fillId="7" borderId="1" pivotButton="0" quotePrefix="0" xfId="0"/>
    <xf numFmtId="0" fontId="0" fillId="7" borderId="1" pivotButton="0" quotePrefix="0" xfId="0"/>
    <xf numFmtId="0" fontId="4" fillId="8" borderId="1" pivotButton="0" quotePrefix="0" xfId="0"/>
    <xf numFmtId="0" fontId="0" fillId="8" borderId="1" pivotButton="0" quotePrefix="0" xfId="0"/>
    <xf numFmtId="0" fontId="4" fillId="9" borderId="1" pivotButton="0" quotePrefix="0" xfId="0"/>
    <xf numFmtId="0" fontId="0" fillId="9" borderId="1" pivotButton="0" quotePrefix="0" xfId="0"/>
    <xf numFmtId="0" fontId="4" fillId="10" borderId="1" pivotButton="0" quotePrefix="0" xfId="0"/>
    <xf numFmtId="0" fontId="0" fillId="10" borderId="1" pivotButton="0" quotePrefix="0" xfId="0"/>
    <xf numFmtId="0" fontId="6" fillId="0" borderId="0" pivotButton="0" quotePrefix="0" xfId="0"/>
    <xf numFmtId="4" fontId="7" fillId="0" borderId="1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6" customWidth="1" min="4" max="4"/>
    <col width="14" customWidth="1" min="5" max="5"/>
    <col width="30" customWidth="1" min="6" max="6"/>
    <col width="10" customWidth="1" min="7" max="7"/>
    <col width="6" customWidth="1" min="8" max="8"/>
    <col width="10" customWidth="1" min="9" max="9"/>
    <col width="14" customWidth="1" min="10" max="10"/>
  </cols>
  <sheetData>
    <row r="1" ht="24" customHeight="1">
      <c r="A1" s="1" t="inlineStr">
        <is>
          <t>HER2-CDx Flow Cytometry 抗體優化實驗 — 預算清單</t>
        </is>
      </c>
    </row>
    <row r="2">
      <c r="A2" s="2" t="inlineStr">
        <is>
          <t>文件: HER2-CDx-FLOW-OPT-001 | 版本: Draft v1.0 | 日期: 2026-05-24 | 用途: Pre-SOP Flow Cytometry 優化</t>
        </is>
      </c>
    </row>
    <row r="3" ht="6" customHeight="1"/>
    <row r="4" ht="28" customHeight="1">
      <c r="A4" s="3" t="inlineStr">
        <is>
          <t>類別</t>
        </is>
      </c>
      <c r="B4" s="3" t="inlineStr">
        <is>
          <t>品項名稱</t>
        </is>
      </c>
      <c r="C4" s="3" t="inlineStr">
        <is>
          <t>品牌/廠商</t>
        </is>
      </c>
      <c r="D4" s="3" t="inlineStr">
        <is>
          <t>Catalog #</t>
        </is>
      </c>
      <c r="E4" s="3" t="inlineStr">
        <is>
          <t>規格</t>
        </is>
      </c>
      <c r="F4" s="3" t="inlineStr">
        <is>
          <t>用途 / 備註</t>
        </is>
      </c>
      <c r="G4" s="3" t="inlineStr">
        <is>
          <t>預估用量</t>
        </is>
      </c>
      <c r="H4" s="3" t="inlineStr">
        <is>
          <t>單位</t>
        </is>
      </c>
      <c r="I4" s="3" t="inlineStr">
        <is>
          <t>單價(USD)</t>
        </is>
      </c>
      <c r="J4" s="3" t="inlineStr">
        <is>
          <t>預估總價(USD)</t>
        </is>
      </c>
    </row>
    <row r="5" ht="18" customHeight="1">
      <c r="A5" s="4" t="inlineStr">
        <is>
          <t>▌ 細胞株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</row>
    <row r="6" ht="16" customHeight="1">
      <c r="A6" s="6" t="inlineStr">
        <is>
          <t>細胞株</t>
        </is>
      </c>
      <c r="B6" s="7" t="inlineStr">
        <is>
          <t>SK-BR-3（乳癌，HER2 3+）</t>
        </is>
      </c>
      <c r="C6" s="6" t="inlineStr">
        <is>
          <t>ATCC</t>
        </is>
      </c>
      <c r="D6" s="6" t="inlineStr">
        <is>
          <t>HTB-30</t>
        </is>
      </c>
      <c r="E6" s="6" t="inlineStr">
        <is>
          <t>1 vial</t>
        </is>
      </c>
      <c r="F6" s="7" t="inlineStr">
        <is>
          <t>主要陽性對照，HER2 高表達</t>
        </is>
      </c>
      <c r="G6" s="8" t="n">
        <v>1</v>
      </c>
      <c r="H6" s="8" t="inlineStr">
        <is>
          <t>vial</t>
        </is>
      </c>
      <c r="I6" s="8" t="n">
        <v>600</v>
      </c>
      <c r="J6" s="9">
        <f>G6*I6</f>
        <v/>
      </c>
    </row>
    <row r="7" ht="16" customHeight="1">
      <c r="A7" s="6" t="inlineStr">
        <is>
          <t>細胞株</t>
        </is>
      </c>
      <c r="B7" s="7" t="inlineStr">
        <is>
          <t>BT-474（乳癌，HER2 3+）</t>
        </is>
      </c>
      <c r="C7" s="6" t="inlineStr">
        <is>
          <t>ATCC</t>
        </is>
      </c>
      <c r="D7" s="6" t="inlineStr">
        <is>
          <t>HTB-20</t>
        </is>
      </c>
      <c r="E7" s="6" t="inlineStr">
        <is>
          <t>1 vial</t>
        </is>
      </c>
      <c r="F7" s="7" t="inlineStr">
        <is>
          <t>HER2 3+ 確認對照</t>
        </is>
      </c>
      <c r="G7" s="8" t="n">
        <v>1</v>
      </c>
      <c r="H7" s="8" t="inlineStr">
        <is>
          <t>vial</t>
        </is>
      </c>
      <c r="I7" s="8" t="n">
        <v>600</v>
      </c>
      <c r="J7" s="9">
        <f>G7*I7</f>
        <v/>
      </c>
    </row>
    <row r="8" ht="16" customHeight="1">
      <c r="A8" s="6" t="inlineStr">
        <is>
          <t>細胞株</t>
        </is>
      </c>
      <c r="B8" s="7" t="inlineStr">
        <is>
          <t>MCF-7（乳癌，HER2 2+）</t>
        </is>
      </c>
      <c r="C8" s="6" t="inlineStr">
        <is>
          <t>ATCC</t>
        </is>
      </c>
      <c r="D8" s="6" t="inlineStr">
        <is>
          <t>HTB-22</t>
        </is>
      </c>
      <c r="E8" s="6" t="inlineStr">
        <is>
          <t>1 vial</t>
        </is>
      </c>
      <c r="F8" s="7" t="inlineStr">
        <is>
          <t>HER2 中等表達，靈敏度評估</t>
        </is>
      </c>
      <c r="G8" s="8" t="n">
        <v>1</v>
      </c>
      <c r="H8" s="8" t="inlineStr">
        <is>
          <t>vial</t>
        </is>
      </c>
      <c r="I8" s="8" t="n">
        <v>600</v>
      </c>
      <c r="J8" s="9">
        <f>G8*I8</f>
        <v/>
      </c>
    </row>
    <row r="9" ht="16" customHeight="1">
      <c r="A9" s="6" t="inlineStr">
        <is>
          <t>細胞株</t>
        </is>
      </c>
      <c r="B9" s="7" t="inlineStr">
        <is>
          <t>MDA-MB-231（乳癌，HER2 1-/0）</t>
        </is>
      </c>
      <c r="C9" s="6" t="inlineStr">
        <is>
          <t>ATCC</t>
        </is>
      </c>
      <c r="D9" s="6" t="inlineStr">
        <is>
          <t>HTB-26</t>
        </is>
      </c>
      <c r="E9" s="6" t="inlineStr">
        <is>
          <t>1 vial</t>
        </is>
      </c>
      <c r="F9" s="7" t="inlineStr">
        <is>
          <t>HER2 陰性，非特異性評估</t>
        </is>
      </c>
      <c r="G9" s="8" t="n">
        <v>1</v>
      </c>
      <c r="H9" s="8" t="inlineStr">
        <is>
          <t>vial</t>
        </is>
      </c>
      <c r="I9" s="8" t="n">
        <v>600</v>
      </c>
      <c r="J9" s="9">
        <f>G9*I9</f>
        <v/>
      </c>
    </row>
    <row r="10" ht="16" customHeight="1">
      <c r="A10" s="6" t="inlineStr">
        <is>
          <t>細胞株</t>
        </is>
      </c>
      <c r="B10" s="7" t="inlineStr">
        <is>
          <t>HCT116（結直腸癌，EpCAM高）</t>
        </is>
      </c>
      <c r="C10" s="6" t="inlineStr">
        <is>
          <t>ATCC</t>
        </is>
      </c>
      <c r="D10" s="6" t="inlineStr">
        <is>
          <t>CCL-247</t>
        </is>
      </c>
      <c r="E10" s="6" t="inlineStr">
        <is>
          <t>1 vial</t>
        </is>
      </c>
      <c r="F10" s="7" t="inlineStr">
        <is>
          <t>EpCAM 抗體特異性評估</t>
        </is>
      </c>
      <c r="G10" s="8" t="n">
        <v>1</v>
      </c>
      <c r="H10" s="8" t="inlineStr">
        <is>
          <t>vial</t>
        </is>
      </c>
      <c r="I10" s="8" t="n">
        <v>600</v>
      </c>
      <c r="J10" s="9">
        <f>G10*I10</f>
        <v/>
      </c>
    </row>
    <row r="11" ht="16" customHeight="1">
      <c r="A11" s="6" t="inlineStr">
        <is>
          <t>細胞株</t>
        </is>
      </c>
      <c r="B11" s="7" t="inlineStr">
        <is>
          <t>Jurkat（T cell，陰性對照）</t>
        </is>
      </c>
      <c r="C11" s="6" t="inlineStr">
        <is>
          <t>ATCC</t>
        </is>
      </c>
      <c r="D11" s="6" t="inlineStr">
        <is>
          <t>TIB-152</t>
        </is>
      </c>
      <c r="E11" s="6" t="inlineStr">
        <is>
          <t>1 vial</t>
        </is>
      </c>
      <c r="F11" s="7" t="inlineStr">
        <is>
          <t>WBC 背景模型，CTC 陰性對照</t>
        </is>
      </c>
      <c r="G11" s="8" t="n">
        <v>1</v>
      </c>
      <c r="H11" s="8" t="inlineStr">
        <is>
          <t>vial</t>
        </is>
      </c>
      <c r="I11" s="8" t="n">
        <v>600</v>
      </c>
      <c r="J11" s="9">
        <f>G11*I11</f>
        <v/>
      </c>
    </row>
    <row r="12" ht="18" customHeight="1">
      <c r="A12" s="10" t="inlineStr">
        <is>
          <t>▌ 培養試劑</t>
        </is>
      </c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</row>
    <row r="13" ht="16" customHeight="1">
      <c r="A13" s="6" t="inlineStr">
        <is>
          <t>培養試劑</t>
        </is>
      </c>
      <c r="B13" s="7" t="inlineStr">
        <is>
          <t>DMEM（高糖，GlutaMAX）</t>
        </is>
      </c>
      <c r="C13" s="6" t="inlineStr">
        <is>
          <t>Gibco</t>
        </is>
      </c>
      <c r="D13" s="6" t="inlineStr">
        <is>
          <t>10569010</t>
        </is>
      </c>
      <c r="E13" s="6" t="inlineStr">
        <is>
          <t>500 mL</t>
        </is>
      </c>
      <c r="F13" s="7" t="inlineStr">
        <is>
          <t>SK-BR-3 / MCF-7 / MDA-MB-231 培養</t>
        </is>
      </c>
      <c r="G13" s="8" t="n">
        <v>2</v>
      </c>
      <c r="H13" s="8" t="inlineStr">
        <is>
          <t>瓶</t>
        </is>
      </c>
      <c r="I13" s="8" t="n">
        <v>45</v>
      </c>
      <c r="J13" s="9">
        <f>G13*I13</f>
        <v/>
      </c>
    </row>
    <row r="14" ht="16" customHeight="1">
      <c r="A14" s="6" t="inlineStr">
        <is>
          <t>培養試劑</t>
        </is>
      </c>
      <c r="B14" s="7" t="inlineStr">
        <is>
          <t>RPMI 1640</t>
        </is>
      </c>
      <c r="C14" s="6" t="inlineStr">
        <is>
          <t>Gibco</t>
        </is>
      </c>
      <c r="D14" s="6" t="inlineStr">
        <is>
          <t>11875093</t>
        </is>
      </c>
      <c r="E14" s="6" t="inlineStr">
        <is>
          <t>500 mL</t>
        </is>
      </c>
      <c r="F14" s="7" t="inlineStr">
        <is>
          <t>Jurkat / HCT116 培養</t>
        </is>
      </c>
      <c r="G14" s="8" t="n">
        <v>2</v>
      </c>
      <c r="H14" s="8" t="inlineStr">
        <is>
          <t>瓶</t>
        </is>
      </c>
      <c r="I14" s="8" t="n">
        <v>40</v>
      </c>
      <c r="J14" s="9">
        <f>G14*I14</f>
        <v/>
      </c>
    </row>
    <row r="15" ht="16" customHeight="1">
      <c r="A15" s="6" t="inlineStr">
        <is>
          <t>培養試劑</t>
        </is>
      </c>
      <c r="B15" s="7" t="inlineStr">
        <is>
          <t>FBS（熱滅活）</t>
        </is>
      </c>
      <c r="C15" s="6" t="inlineStr">
        <is>
          <t>Gibco</t>
        </is>
      </c>
      <c r="D15" s="6" t="inlineStr">
        <is>
          <t>10438026</t>
        </is>
      </c>
      <c r="E15" s="6" t="inlineStr">
        <is>
          <t>500 mL</t>
        </is>
      </c>
      <c r="F15" s="7" t="inlineStr">
        <is>
          <t>培養基補充（10%）</t>
        </is>
      </c>
      <c r="G15" s="8" t="n">
        <v>2</v>
      </c>
      <c r="H15" s="8" t="inlineStr">
        <is>
          <t>瓶</t>
        </is>
      </c>
      <c r="I15" s="8" t="n">
        <v>150</v>
      </c>
      <c r="J15" s="9">
        <f>G15*I15</f>
        <v/>
      </c>
    </row>
    <row r="16" ht="16" customHeight="1">
      <c r="A16" s="6" t="inlineStr">
        <is>
          <t>培養試劑</t>
        </is>
      </c>
      <c r="B16" s="7" t="inlineStr">
        <is>
          <t>0.25% Trypsin-EDTA</t>
        </is>
      </c>
      <c r="C16" s="6" t="inlineStr">
        <is>
          <t>Gibco</t>
        </is>
      </c>
      <c r="D16" s="6" t="inlineStr">
        <is>
          <t>25200072</t>
        </is>
      </c>
      <c r="E16" s="6" t="inlineStr">
        <is>
          <t>100 mL</t>
        </is>
      </c>
      <c r="F16" s="7" t="inlineStr">
        <is>
          <t>貼附型細胞傳代</t>
        </is>
      </c>
      <c r="G16" s="8" t="n">
        <v>2</v>
      </c>
      <c r="H16" s="8" t="inlineStr">
        <is>
          <t>瓶</t>
        </is>
      </c>
      <c r="I16" s="8" t="n">
        <v>40</v>
      </c>
      <c r="J16" s="9">
        <f>G16*I16</f>
        <v/>
      </c>
    </row>
    <row r="17" ht="16" customHeight="1">
      <c r="A17" s="6" t="inlineStr">
        <is>
          <t>培養試劑</t>
        </is>
      </c>
      <c r="B17" s="7" t="inlineStr">
        <is>
          <t>L-Glutamine（200 mM）</t>
        </is>
      </c>
      <c r="C17" s="6" t="inlineStr">
        <is>
          <t>Gibco</t>
        </is>
      </c>
      <c r="D17" s="6" t="inlineStr">
        <is>
          <t>25030081</t>
        </is>
      </c>
      <c r="E17" s="6" t="inlineStr">
        <is>
          <t>100 mL</t>
        </is>
      </c>
      <c r="F17" s="7" t="inlineStr">
        <is>
          <t>培養基補充（若未含）</t>
        </is>
      </c>
      <c r="G17" s="8" t="n">
        <v>1</v>
      </c>
      <c r="H17" s="8" t="inlineStr">
        <is>
          <t>瓶</t>
        </is>
      </c>
      <c r="I17" s="8" t="n">
        <v>35</v>
      </c>
      <c r="J17" s="9">
        <f>G17*I17</f>
        <v/>
      </c>
    </row>
    <row r="18" ht="16" customHeight="1">
      <c r="A18" s="6" t="inlineStr">
        <is>
          <t>培養試劑</t>
        </is>
      </c>
      <c r="B18" s="7" t="inlineStr">
        <is>
          <t>Pen/Strep（100×）</t>
        </is>
      </c>
      <c r="C18" s="6" t="inlineStr">
        <is>
          <t>Gibco</t>
        </is>
      </c>
      <c r="D18" s="6" t="inlineStr">
        <is>
          <t>15140122</t>
        </is>
      </c>
      <c r="E18" s="6" t="inlineStr">
        <is>
          <t>100 mL</t>
        </is>
      </c>
      <c r="F18" s="7" t="inlineStr">
        <is>
          <t>培養基抗菌補充</t>
        </is>
      </c>
      <c r="G18" s="8" t="n">
        <v>1</v>
      </c>
      <c r="H18" s="8" t="inlineStr">
        <is>
          <t>瓶</t>
        </is>
      </c>
      <c r="I18" s="8" t="n">
        <v>40</v>
      </c>
      <c r="J18" s="9">
        <f>G18*I18</f>
        <v/>
      </c>
    </row>
    <row r="19" ht="16" customHeight="1">
      <c r="A19" s="6" t="inlineStr">
        <is>
          <t>培養試劑</t>
        </is>
      </c>
      <c r="B19" s="7" t="inlineStr">
        <is>
          <t>T25 培養瓶</t>
        </is>
      </c>
      <c r="C19" s="6" t="inlineStr">
        <is>
          <t>Corning</t>
        </is>
      </c>
      <c r="D19" s="6" t="inlineStr">
        <is>
          <t>430639</t>
        </is>
      </c>
      <c r="E19" s="6" t="inlineStr">
        <is>
          <t>pack/10</t>
        </is>
      </c>
      <c r="F19" s="7" t="inlineStr">
        <is>
          <t>cell line 維護</t>
        </is>
      </c>
      <c r="G19" s="8" t="n">
        <v>1</v>
      </c>
      <c r="H19" s="8" t="inlineStr">
        <is>
          <t>pack</t>
        </is>
      </c>
      <c r="I19" s="8" t="n">
        <v>35</v>
      </c>
      <c r="J19" s="9">
        <f>G19*I19</f>
        <v/>
      </c>
    </row>
    <row r="20" ht="18" customHeight="1">
      <c r="A20" s="12" t="inlineStr">
        <is>
          <t>▌ 生物素化抗體</t>
        </is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</row>
    <row r="21" ht="16" customHeight="1">
      <c r="A21" s="6" t="inlineStr">
        <is>
          <t>生物素化抗體</t>
        </is>
      </c>
      <c r="B21" s="7" t="inlineStr">
        <is>
          <t>Biotinylated Anti-EpCAM（BAF960）</t>
        </is>
      </c>
      <c r="C21" s="6" t="inlineStr">
        <is>
          <t>R&amp;D Systems</t>
        </is>
      </c>
      <c r="D21" s="6" t="inlineStr">
        <is>
          <t>BAF960</t>
        </is>
      </c>
      <c r="E21" s="6" t="inlineStr">
        <is>
          <t>100 μg/vial</t>
        </is>
      </c>
      <c r="F21" s="7" t="inlineStr">
        <is>
          <t>CTC 捕獲；F-1 滴定 + F-2 組合</t>
        </is>
      </c>
      <c r="G21" s="8" t="n">
        <v>3</v>
      </c>
      <c r="H21" s="8" t="inlineStr">
        <is>
          <t>vial</t>
        </is>
      </c>
      <c r="I21" s="8" t="n">
        <v>325</v>
      </c>
      <c r="J21" s="9">
        <f>G21*I21</f>
        <v/>
      </c>
    </row>
    <row r="22" ht="16" customHeight="1">
      <c r="A22" s="6" t="inlineStr">
        <is>
          <t>生物素化抗體</t>
        </is>
      </c>
      <c r="B22" s="7" t="inlineStr">
        <is>
          <t>Biotinylated Anti-HER2（BAF1129）</t>
        </is>
      </c>
      <c r="C22" s="6" t="inlineStr">
        <is>
          <t>R&amp;D Systems</t>
        </is>
      </c>
      <c r="D22" s="6" t="inlineStr">
        <is>
          <t>BAF1129</t>
        </is>
      </c>
      <c r="E22" s="6" t="inlineStr">
        <is>
          <t>100 μg/vial</t>
        </is>
      </c>
      <c r="F22" s="7" t="inlineStr">
        <is>
          <t>CTC 捕獲；F-1 滴定 + F-2 組合</t>
        </is>
      </c>
      <c r="G22" s="8" t="n">
        <v>3</v>
      </c>
      <c r="H22" s="8" t="inlineStr">
        <is>
          <t>vial</t>
        </is>
      </c>
      <c r="I22" s="8" t="n">
        <v>325</v>
      </c>
      <c r="J22" s="9">
        <f>G22*I22</f>
        <v/>
      </c>
    </row>
    <row r="23" ht="16" customHeight="1">
      <c r="A23" s="6" t="inlineStr">
        <is>
          <t>生物素化抗體</t>
        </is>
      </c>
      <c r="B23" s="7" t="inlineStr">
        <is>
          <t>Biotinylated Anti-EGFR（BAF231）</t>
        </is>
      </c>
      <c r="C23" s="6" t="inlineStr">
        <is>
          <t>R&amp;D Systems</t>
        </is>
      </c>
      <c r="D23" s="6" t="inlineStr">
        <is>
          <t>BAF231</t>
        </is>
      </c>
      <c r="E23" s="6" t="inlineStr">
        <is>
          <t>100 μg/vial</t>
        </is>
      </c>
      <c r="F23" s="7" t="inlineStr">
        <is>
          <t>CTC 捕獲；F-1 滴定 + F-2 組合</t>
        </is>
      </c>
      <c r="G23" s="8" t="n">
        <v>3</v>
      </c>
      <c r="H23" s="8" t="inlineStr">
        <is>
          <t>vial</t>
        </is>
      </c>
      <c r="I23" s="8" t="n">
        <v>325</v>
      </c>
      <c r="J23" s="9">
        <f>G23*I23</f>
        <v/>
      </c>
    </row>
    <row r="24" ht="18" customHeight="1">
      <c r="A24" s="14" t="inlineStr">
        <is>
          <t>▌ 偵測試劑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</row>
    <row r="25" ht="16" customHeight="1">
      <c r="A25" s="6" t="inlineStr">
        <is>
          <t>偵測試劑</t>
        </is>
      </c>
      <c r="B25" s="7" t="inlineStr">
        <is>
          <t>Streptavidin-PE（SA-PE）</t>
        </is>
      </c>
      <c r="C25" s="6" t="inlineStr">
        <is>
          <t>BioLegend</t>
        </is>
      </c>
      <c r="D25" s="6" t="inlineStr">
        <is>
          <t>405204</t>
        </is>
      </c>
      <c r="E25" s="6" t="inlineStr">
        <is>
          <t>0.5 mg</t>
        </is>
      </c>
      <c r="F25" s="7" t="inlineStr">
        <is>
          <t>生物素化抗體 Flow 偵測，F-1/2/4</t>
        </is>
      </c>
      <c r="G25" s="8" t="n">
        <v>2</v>
      </c>
      <c r="H25" s="8" t="inlineStr">
        <is>
          <t>vial</t>
        </is>
      </c>
      <c r="I25" s="8" t="n">
        <v>195</v>
      </c>
      <c r="J25" s="9">
        <f>G25*I25</f>
        <v/>
      </c>
    </row>
    <row r="26" ht="16" customHeight="1">
      <c r="A26" s="6" t="inlineStr">
        <is>
          <t>偵測試劑</t>
        </is>
      </c>
      <c r="B26" s="7" t="inlineStr">
        <is>
          <t>Streptavidin-FITC（SA-FITC）</t>
        </is>
      </c>
      <c r="C26" s="6" t="inlineStr">
        <is>
          <t>BioLegend</t>
        </is>
      </c>
      <c r="D26" s="6" t="inlineStr">
        <is>
          <t>405202</t>
        </is>
      </c>
      <c r="E26" s="6" t="inlineStr">
        <is>
          <t>0.5 mg</t>
        </is>
      </c>
      <c r="F26" s="7" t="inlineStr">
        <is>
          <t>多色 panel 替代偵測</t>
        </is>
      </c>
      <c r="G26" s="8" t="n">
        <v>1</v>
      </c>
      <c r="H26" s="8" t="inlineStr">
        <is>
          <t>vial</t>
        </is>
      </c>
      <c r="I26" s="8" t="n">
        <v>195</v>
      </c>
      <c r="J26" s="9">
        <f>G26*I26</f>
        <v/>
      </c>
    </row>
    <row r="27" ht="16" customHeight="1">
      <c r="A27" s="6" t="inlineStr">
        <is>
          <t>偵測試劑</t>
        </is>
      </c>
      <c r="B27" s="7" t="inlineStr">
        <is>
          <t>Streptavidin-APC（SA-APC）</t>
        </is>
      </c>
      <c r="C27" s="6" t="inlineStr">
        <is>
          <t>BioLegend</t>
        </is>
      </c>
      <c r="D27" s="6" t="inlineStr">
        <is>
          <t>405207</t>
        </is>
      </c>
      <c r="E27" s="6" t="inlineStr">
        <is>
          <t>0.5 mg</t>
        </is>
      </c>
      <c r="F27" s="7" t="inlineStr">
        <is>
          <t>備用（APC channel 測試）</t>
        </is>
      </c>
      <c r="G27" s="8" t="n">
        <v>1</v>
      </c>
      <c r="H27" s="8" t="inlineStr">
        <is>
          <t>vial</t>
        </is>
      </c>
      <c r="I27" s="8" t="n">
        <v>215</v>
      </c>
      <c r="J27" s="9">
        <f>G27*I27</f>
        <v/>
      </c>
    </row>
    <row r="28" ht="16" customHeight="1">
      <c r="A28" s="6" t="inlineStr">
        <is>
          <t>偵測試劑</t>
        </is>
      </c>
      <c r="B28" s="7" t="inlineStr">
        <is>
          <t>Fc Block（Human）</t>
        </is>
      </c>
      <c r="C28" s="6" t="inlineStr">
        <is>
          <t>BioLegend</t>
        </is>
      </c>
      <c r="D28" s="6" t="inlineStr">
        <is>
          <t>422302</t>
        </is>
      </c>
      <c r="E28" s="6" t="inlineStr">
        <is>
          <t>1 mL</t>
        </is>
      </c>
      <c r="F28" s="7" t="inlineStr">
        <is>
          <t>降低非特異性 Fc 結合</t>
        </is>
      </c>
      <c r="G28" s="8" t="n">
        <v>1</v>
      </c>
      <c r="H28" s="8" t="inlineStr">
        <is>
          <t>vial</t>
        </is>
      </c>
      <c r="I28" s="8" t="n">
        <v>85</v>
      </c>
      <c r="J28" s="9">
        <f>G28*I28</f>
        <v/>
      </c>
    </row>
    <row r="29" ht="16" customHeight="1">
      <c r="A29" s="6" t="inlineStr">
        <is>
          <t>偵測試劑</t>
        </is>
      </c>
      <c r="B29" s="7" t="inlineStr">
        <is>
          <t>UltraComp eBeads（補償珠）</t>
        </is>
      </c>
      <c r="C29" s="6" t="inlineStr">
        <is>
          <t>Thermo</t>
        </is>
      </c>
      <c r="D29" s="6" t="inlineStr">
        <is>
          <t>01-2222-41</t>
        </is>
      </c>
      <c r="E29" s="6" t="inlineStr">
        <is>
          <t>100 tests</t>
        </is>
      </c>
      <c r="F29" s="7" t="inlineStr">
        <is>
          <t>多色補償設定</t>
        </is>
      </c>
      <c r="G29" s="8" t="n">
        <v>2</v>
      </c>
      <c r="H29" s="8" t="inlineStr">
        <is>
          <t>kit</t>
        </is>
      </c>
      <c r="I29" s="8" t="n">
        <v>195</v>
      </c>
      <c r="J29" s="9">
        <f>G29*I29</f>
        <v/>
      </c>
    </row>
    <row r="30" ht="16" customHeight="1">
      <c r="A30" s="6" t="inlineStr">
        <is>
          <t>偵測試劑</t>
        </is>
      </c>
      <c r="B30" s="7" t="inlineStr">
        <is>
          <t>CountBright Beads（定量）</t>
        </is>
      </c>
      <c r="C30" s="6" t="inlineStr">
        <is>
          <t>Thermo</t>
        </is>
      </c>
      <c r="D30" s="6" t="inlineStr">
        <is>
          <t>C36950</t>
        </is>
      </c>
      <c r="E30" s="6" t="inlineStr">
        <is>
          <t>1 mL</t>
        </is>
      </c>
      <c r="F30" s="7" t="inlineStr">
        <is>
          <t>絕對細胞數計算（CTC 偵測率）</t>
        </is>
      </c>
      <c r="G30" s="8" t="n">
        <v>1</v>
      </c>
      <c r="H30" s="8" t="inlineStr">
        <is>
          <t>vial</t>
        </is>
      </c>
      <c r="I30" s="8" t="n">
        <v>165</v>
      </c>
      <c r="J30" s="9">
        <f>G30*I30</f>
        <v/>
      </c>
    </row>
    <row r="31" ht="16" customHeight="1">
      <c r="A31" s="6" t="inlineStr">
        <is>
          <t>偵測試劑</t>
        </is>
      </c>
      <c r="B31" s="7" t="inlineStr">
        <is>
          <t>DAPI</t>
        </is>
      </c>
      <c r="C31" s="6" t="inlineStr">
        <is>
          <t>Sigma</t>
        </is>
      </c>
      <c r="D31" s="6" t="inlineStr">
        <is>
          <t>D9542</t>
        </is>
      </c>
      <c r="E31" s="6" t="inlineStr">
        <is>
          <t>10 mg</t>
        </is>
      </c>
      <c r="F31" s="7" t="inlineStr">
        <is>
          <t>核染/活性分析</t>
        </is>
      </c>
      <c r="G31" s="8" t="n">
        <v>1</v>
      </c>
      <c r="H31" s="8" t="inlineStr">
        <is>
          <t>vial</t>
        </is>
      </c>
      <c r="I31" s="8" t="n">
        <v>55</v>
      </c>
      <c r="J31" s="9">
        <f>G31*I31</f>
        <v/>
      </c>
    </row>
    <row r="32" ht="16" customHeight="1">
      <c r="A32" s="6" t="inlineStr">
        <is>
          <t>偵測試劑</t>
        </is>
      </c>
      <c r="B32" s="7" t="inlineStr">
        <is>
          <t>7-AAD Viability Dye</t>
        </is>
      </c>
      <c r="C32" s="6" t="inlineStr">
        <is>
          <t>BioLegend</t>
        </is>
      </c>
      <c r="D32" s="6" t="inlineStr">
        <is>
          <t>420403</t>
        </is>
      </c>
      <c r="E32" s="6" t="inlineStr">
        <is>
          <t>500 tests</t>
        </is>
      </c>
      <c r="F32" s="7" t="inlineStr">
        <is>
          <t>活性替代（不需固定步驟）</t>
        </is>
      </c>
      <c r="G32" s="8" t="n">
        <v>1</v>
      </c>
      <c r="H32" s="8" t="inlineStr">
        <is>
          <t>kit</t>
        </is>
      </c>
      <c r="I32" s="8" t="n">
        <v>95</v>
      </c>
      <c r="J32" s="9">
        <f>G32*I32</f>
        <v/>
      </c>
    </row>
    <row r="33" ht="18" customHeight="1">
      <c r="A33" s="16" t="inlineStr">
        <is>
          <t>▌ IF Panel 抗體</t>
        </is>
      </c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</row>
    <row r="34" ht="16" customHeight="1">
      <c r="A34" s="6" t="inlineStr">
        <is>
          <t>IF Panel 抗體</t>
        </is>
      </c>
      <c r="B34" s="7" t="inlineStr">
        <is>
          <t>Anti-HER2-FITC（直接偶聯）</t>
        </is>
      </c>
      <c r="C34" s="6" t="inlineStr">
        <is>
          <t>BioLegend</t>
        </is>
      </c>
      <c r="D34" s="6" t="inlineStr">
        <is>
          <t>324404</t>
        </is>
      </c>
      <c r="E34" s="6" t="inlineStr">
        <is>
          <t>100 μg</t>
        </is>
      </c>
      <c r="F34" s="7" t="inlineStr">
        <is>
          <t>F-2 Direct vs Indirect 比較；ANA-004</t>
        </is>
      </c>
      <c r="G34" s="8" t="n">
        <v>2</v>
      </c>
      <c r="H34" s="8" t="inlineStr">
        <is>
          <t>vial</t>
        </is>
      </c>
      <c r="I34" s="8" t="n">
        <v>285</v>
      </c>
      <c r="J34" s="9">
        <f>G34*I34</f>
        <v/>
      </c>
    </row>
    <row r="35" ht="16" customHeight="1">
      <c r="A35" s="6" t="inlineStr">
        <is>
          <t>IF Panel 抗體</t>
        </is>
      </c>
      <c r="B35" s="7" t="inlineStr">
        <is>
          <t>Anti-Pan-CK（CK）-PE（胞內）</t>
        </is>
      </c>
      <c r="C35" s="6" t="inlineStr">
        <is>
          <t>BioLegend</t>
        </is>
      </c>
      <c r="D35" s="6" t="inlineStr">
        <is>
          <t>628603</t>
        </is>
      </c>
      <c r="E35" s="6" t="inlineStr">
        <is>
          <t>50 tests</t>
        </is>
      </c>
      <c r="F35" s="7" t="inlineStr">
        <is>
          <t>F-3 CTC 確認；CK⁺ gate</t>
        </is>
      </c>
      <c r="G35" s="8" t="n">
        <v>2</v>
      </c>
      <c r="H35" s="8" t="inlineStr">
        <is>
          <t>vial</t>
        </is>
      </c>
      <c r="I35" s="8" t="n">
        <v>280</v>
      </c>
      <c r="J35" s="9">
        <f>G35*I35</f>
        <v/>
      </c>
    </row>
    <row r="36" ht="16" customHeight="1">
      <c r="A36" s="6" t="inlineStr">
        <is>
          <t>IF Panel 抗體</t>
        </is>
      </c>
      <c r="B36" s="7" t="inlineStr">
        <is>
          <t>Anti-CD45-APC</t>
        </is>
      </c>
      <c r="C36" s="6" t="inlineStr">
        <is>
          <t>BioLegend</t>
        </is>
      </c>
      <c r="D36" s="6" t="inlineStr">
        <is>
          <t>304011</t>
        </is>
      </c>
      <c r="E36" s="6" t="inlineStr">
        <is>
          <t>100 μg</t>
        </is>
      </c>
      <c r="F36" s="7" t="inlineStr">
        <is>
          <t>F-3 WBC gate；CD45⁻ CTC 確認</t>
        </is>
      </c>
      <c r="G36" s="8" t="n">
        <v>2</v>
      </c>
      <c r="H36" s="8" t="inlineStr">
        <is>
          <t>vial</t>
        </is>
      </c>
      <c r="I36" s="8" t="n">
        <v>250</v>
      </c>
      <c r="J36" s="9">
        <f>G36*I36</f>
        <v/>
      </c>
    </row>
    <row r="37" ht="16" customHeight="1">
      <c r="A37" s="6" t="inlineStr">
        <is>
          <t>IF Panel 抗體</t>
        </is>
      </c>
      <c r="B37" s="7" t="inlineStr">
        <is>
          <t>Fix/Perm Kit（胞內染色）</t>
        </is>
      </c>
      <c r="C37" s="6" t="inlineStr">
        <is>
          <t>BioLegend</t>
        </is>
      </c>
      <c r="D37" s="6" t="inlineStr">
        <is>
          <t>421401</t>
        </is>
      </c>
      <c r="E37" s="6" t="inlineStr">
        <is>
          <t>50 tests</t>
        </is>
      </c>
      <c r="F37" s="7" t="inlineStr">
        <is>
          <t>CK 胞內染色必需；True-Nuclear</t>
        </is>
      </c>
      <c r="G37" s="8" t="n">
        <v>2</v>
      </c>
      <c r="H37" s="8" t="inlineStr">
        <is>
          <t>kit</t>
        </is>
      </c>
      <c r="I37" s="8" t="n">
        <v>195</v>
      </c>
      <c r="J37" s="9">
        <f>G37*I37</f>
        <v/>
      </c>
    </row>
    <row r="38" ht="16" customHeight="1">
      <c r="A38" s="6" t="inlineStr">
        <is>
          <t>IF Panel 抗體</t>
        </is>
      </c>
      <c r="B38" s="7" t="inlineStr">
        <is>
          <t>Perm/Wash Buffer（1×）</t>
        </is>
      </c>
      <c r="C38" s="6" t="inlineStr">
        <is>
          <t>BD</t>
        </is>
      </c>
      <c r="D38" s="6" t="inlineStr">
        <is>
          <t>554723</t>
        </is>
      </c>
      <c r="E38" s="6" t="inlineStr">
        <is>
          <t>500 mL</t>
        </is>
      </c>
      <c r="F38" s="7" t="inlineStr">
        <is>
          <t>胞內染色洗滌</t>
        </is>
      </c>
      <c r="G38" s="8" t="n">
        <v>1</v>
      </c>
      <c r="H38" s="8" t="inlineStr">
        <is>
          <t>瓶</t>
        </is>
      </c>
      <c r="I38" s="8" t="n">
        <v>55</v>
      </c>
      <c r="J38" s="9">
        <f>G38*I38</f>
        <v/>
      </c>
    </row>
    <row r="39" ht="18" customHeight="1">
      <c r="A39" s="18" t="inlineStr">
        <is>
          <t>▌ Flow 分析耗材</t>
        </is>
      </c>
      <c r="B39" s="19" t="inlineStr"/>
      <c r="C39" s="19" t="inlineStr"/>
      <c r="D39" s="19" t="inlineStr"/>
      <c r="E39" s="19" t="inlineStr"/>
      <c r="F39" s="19" t="inlineStr"/>
      <c r="G39" s="19" t="inlineStr"/>
      <c r="H39" s="19" t="inlineStr"/>
      <c r="I39" s="19" t="inlineStr"/>
      <c r="J39" s="19" t="inlineStr"/>
    </row>
    <row r="40" ht="16" customHeight="1">
      <c r="A40" s="6" t="inlineStr">
        <is>
          <t>Flow 分析耗材</t>
        </is>
      </c>
      <c r="B40" s="7" t="inlineStr">
        <is>
          <t>5 mL 圓底 FACS 管（BD #352054）</t>
        </is>
      </c>
      <c r="C40" s="6" t="inlineStr">
        <is>
          <t>BD</t>
        </is>
      </c>
      <c r="D40" s="6" t="inlineStr">
        <is>
          <t>352054</t>
        </is>
      </c>
      <c r="E40" s="6" t="inlineStr">
        <is>
          <t>500/pack</t>
        </is>
      </c>
      <c r="F40" s="7" t="inlineStr">
        <is>
          <t>Flow 染色管</t>
        </is>
      </c>
      <c r="G40" s="8" t="n">
        <v>2</v>
      </c>
      <c r="H40" s="8" t="inlineStr">
        <is>
          <t>pack</t>
        </is>
      </c>
      <c r="I40" s="8" t="n">
        <v>90</v>
      </c>
      <c r="J40" s="9">
        <f>G40*I40</f>
        <v/>
      </c>
    </row>
    <row r="41" ht="16" customHeight="1">
      <c r="A41" s="6" t="inlineStr">
        <is>
          <t>Flow 分析耗材</t>
        </is>
      </c>
      <c r="B41" s="7" t="inlineStr">
        <is>
          <t>40 μm Cell Strainer</t>
        </is>
      </c>
      <c r="C41" s="6" t="inlineStr">
        <is>
          <t>BD</t>
        </is>
      </c>
      <c r="D41" s="6" t="inlineStr">
        <is>
          <t>352340</t>
        </is>
      </c>
      <c r="E41" s="6" t="inlineStr">
        <is>
          <t>40/pack</t>
        </is>
      </c>
      <c r="F41" s="7" t="inlineStr">
        <is>
          <t>單細胞懸液過濾（避免堵管）</t>
        </is>
      </c>
      <c r="G41" s="8" t="n">
        <v>2</v>
      </c>
      <c r="H41" s="8" t="inlineStr">
        <is>
          <t>pack</t>
        </is>
      </c>
      <c r="I41" s="8" t="n">
        <v>80</v>
      </c>
      <c r="J41" s="9">
        <f>G41*I41</f>
        <v/>
      </c>
    </row>
    <row r="42" ht="16" customHeight="1">
      <c r="A42" s="6" t="inlineStr">
        <is>
          <t>Flow 分析耗材</t>
        </is>
      </c>
      <c r="B42" s="7" t="inlineStr">
        <is>
          <t>1.5 mL 微量離心管</t>
        </is>
      </c>
      <c r="C42" s="6" t="inlineStr">
        <is>
          <t>各廠</t>
        </is>
      </c>
      <c r="D42" s="6" t="inlineStr">
        <is>
          <t>—</t>
        </is>
      </c>
      <c r="E42" s="6" t="inlineStr">
        <is>
          <t>500/pack</t>
        </is>
      </c>
      <c r="F42" s="7" t="inlineStr">
        <is>
          <t>抗體稀釋、cocktail 配製</t>
        </is>
      </c>
      <c r="G42" s="8" t="n">
        <v>1</v>
      </c>
      <c r="H42" s="8" t="inlineStr">
        <is>
          <t>pack</t>
        </is>
      </c>
      <c r="I42" s="8" t="n">
        <v>20</v>
      </c>
      <c r="J42" s="9">
        <f>G42*I42</f>
        <v/>
      </c>
    </row>
    <row r="43" ht="16" customHeight="1">
      <c r="A43" s="6" t="inlineStr">
        <is>
          <t>Flow 分析耗材</t>
        </is>
      </c>
      <c r="B43" s="7" t="inlineStr">
        <is>
          <t>15 mL 錐形管（Falcon）</t>
        </is>
      </c>
      <c r="C43" s="6" t="inlineStr">
        <is>
          <t>Corning</t>
        </is>
      </c>
      <c r="D43" s="6" t="inlineStr">
        <is>
          <t>352096</t>
        </is>
      </c>
      <c r="E43" s="6" t="inlineStr">
        <is>
          <t>50/pack</t>
        </is>
      </c>
      <c r="F43" s="7" t="inlineStr">
        <is>
          <t>細胞洗滌</t>
        </is>
      </c>
      <c r="G43" s="8" t="n">
        <v>2</v>
      </c>
      <c r="H43" s="8" t="inlineStr">
        <is>
          <t>pack</t>
        </is>
      </c>
      <c r="I43" s="8" t="n">
        <v>35</v>
      </c>
      <c r="J43" s="9">
        <f>G43*I43</f>
        <v/>
      </c>
    </row>
    <row r="44" ht="16" customHeight="1">
      <c r="A44" s="6" t="inlineStr">
        <is>
          <t>Flow 分析耗材</t>
        </is>
      </c>
      <c r="B44" s="7" t="inlineStr">
        <is>
          <t>移液管（10 mL / 25 mL）</t>
        </is>
      </c>
      <c r="C44" s="6" t="inlineStr">
        <is>
          <t>Corning</t>
        </is>
      </c>
      <c r="D44" s="6" t="inlineStr">
        <is>
          <t>356551/356525</t>
        </is>
      </c>
      <c r="E44" s="6" t="inlineStr">
        <is>
          <t>25/pack</t>
        </is>
      </c>
      <c r="F44" s="7" t="inlineStr">
        <is>
          <t>細胞操作</t>
        </is>
      </c>
      <c r="G44" s="8" t="n">
        <v>2</v>
      </c>
      <c r="H44" s="8" t="inlineStr">
        <is>
          <t>pack</t>
        </is>
      </c>
      <c r="I44" s="8" t="n">
        <v>20</v>
      </c>
      <c r="J44" s="9">
        <f>G44*I44</f>
        <v/>
      </c>
    </row>
    <row r="45" ht="16" customHeight="1">
      <c r="A45" s="6" t="inlineStr">
        <is>
          <t>Flow 分析耗材</t>
        </is>
      </c>
      <c r="B45" s="7" t="inlineStr">
        <is>
          <t>低吸附移液器吸頭（1000 μL）</t>
        </is>
      </c>
      <c r="C45" s="6" t="inlineStr">
        <is>
          <t>Axygen</t>
        </is>
      </c>
      <c r="D45" s="6" t="inlineStr">
        <is>
          <t>T-1000-L-R</t>
        </is>
      </c>
      <c r="E45" s="6" t="inlineStr">
        <is>
          <t>960/pack</t>
        </is>
      </c>
      <c r="F45" s="7" t="inlineStr">
        <is>
          <t>抗體分裝，避免吸附損失</t>
        </is>
      </c>
      <c r="G45" s="8" t="n">
        <v>1</v>
      </c>
      <c r="H45" s="8" t="inlineStr">
        <is>
          <t>pack</t>
        </is>
      </c>
      <c r="I45" s="8" t="n">
        <v>45</v>
      </c>
      <c r="J45" s="9">
        <f>G45*I45</f>
        <v/>
      </c>
    </row>
    <row r="46" ht="16" customHeight="1">
      <c r="A46" s="6" t="inlineStr">
        <is>
          <t>Flow 分析耗材</t>
        </is>
      </c>
      <c r="B46" s="7" t="inlineStr">
        <is>
          <t>FCS Express / FlowJo License</t>
        </is>
      </c>
      <c r="C46" s="6" t="inlineStr">
        <is>
          <t>各廠</t>
        </is>
      </c>
      <c r="D46" s="6" t="inlineStr">
        <is>
          <t>—</t>
        </is>
      </c>
      <c r="E46" s="6" t="inlineStr">
        <is>
          <t>annual</t>
        </is>
      </c>
      <c r="F46" s="7" t="inlineStr">
        <is>
          <t>Flow 資料分析軟體</t>
        </is>
      </c>
      <c r="G46" s="8" t="n">
        <v>1</v>
      </c>
      <c r="H46" s="8" t="inlineStr">
        <is>
          <t>year</t>
        </is>
      </c>
      <c r="I46" s="8" t="inlineStr"/>
      <c r="J46" s="8" t="inlineStr">
        <is>
          <t>—（待詢價）</t>
        </is>
      </c>
    </row>
    <row r="47" ht="18" customHeight="1">
      <c r="A47" s="20" t="inlineStr">
        <is>
          <t>▌ 緩衝液/試劑</t>
        </is>
      </c>
      <c r="B47" s="21" t="inlineStr"/>
      <c r="C47" s="21" t="inlineStr"/>
      <c r="D47" s="21" t="inlineStr"/>
      <c r="E47" s="21" t="inlineStr"/>
      <c r="F47" s="21" t="inlineStr"/>
      <c r="G47" s="21" t="inlineStr"/>
      <c r="H47" s="21" t="inlineStr"/>
      <c r="I47" s="21" t="inlineStr"/>
      <c r="J47" s="21" t="inlineStr"/>
    </row>
    <row r="48" ht="16" customHeight="1">
      <c r="A48" s="6" t="inlineStr">
        <is>
          <t>緩衝液/試劑</t>
        </is>
      </c>
      <c r="B48" s="7" t="inlineStr">
        <is>
          <t>PBS（無 Ca/Mg，1×）</t>
        </is>
      </c>
      <c r="C48" s="6" t="inlineStr">
        <is>
          <t>Corning</t>
        </is>
      </c>
      <c r="D48" s="6" t="inlineStr">
        <is>
          <t>21040CV</t>
        </is>
      </c>
      <c r="E48" s="6" t="inlineStr">
        <is>
          <t>500 mL × 6</t>
        </is>
      </c>
      <c r="F48" s="7" t="inlineStr">
        <is>
          <t>洗滌、稀釋、重懸</t>
        </is>
      </c>
      <c r="G48" s="8" t="n">
        <v>2</v>
      </c>
      <c r="H48" s="8" t="inlineStr">
        <is>
          <t>pack</t>
        </is>
      </c>
      <c r="I48" s="8" t="n">
        <v>35</v>
      </c>
      <c r="J48" s="9">
        <f>G48*I48</f>
        <v/>
      </c>
    </row>
    <row r="49" ht="16" customHeight="1">
      <c r="A49" s="6" t="inlineStr">
        <is>
          <t>緩衝液/試劑</t>
        </is>
      </c>
      <c r="B49" s="7" t="inlineStr">
        <is>
          <t>BSA（Bovine Serum Albumin）</t>
        </is>
      </c>
      <c r="C49" s="6" t="inlineStr">
        <is>
          <t>Sigma</t>
        </is>
      </c>
      <c r="D49" s="6" t="inlineStr">
        <is>
          <t>A9647</t>
        </is>
      </c>
      <c r="E49" s="6" t="inlineStr">
        <is>
          <t>100 g</t>
        </is>
      </c>
      <c r="F49" s="7" t="inlineStr">
        <is>
          <t>運行緩衝液 2%</t>
        </is>
      </c>
      <c r="G49" s="8" t="n">
        <v>1</v>
      </c>
      <c r="H49" s="8" t="inlineStr">
        <is>
          <t>瓶</t>
        </is>
      </c>
      <c r="I49" s="8" t="n">
        <v>85</v>
      </c>
      <c r="J49" s="9">
        <f>G49*I49</f>
        <v/>
      </c>
    </row>
    <row r="50" ht="16" customHeight="1">
      <c r="A50" s="6" t="inlineStr">
        <is>
          <t>緩衝液/試劑</t>
        </is>
      </c>
      <c r="B50" s="7" t="inlineStr">
        <is>
          <t>EDTA（0.5 M，pH 8.0）</t>
        </is>
      </c>
      <c r="C50" s="6" t="inlineStr">
        <is>
          <t>Thermo</t>
        </is>
      </c>
      <c r="D50" s="6" t="inlineStr">
        <is>
          <t>AM9261</t>
        </is>
      </c>
      <c r="E50" s="6" t="inlineStr">
        <is>
          <t>100 mL</t>
        </is>
      </c>
      <c r="F50" s="7" t="inlineStr">
        <is>
          <t>運行緩衝液 2 mM</t>
        </is>
      </c>
      <c r="G50" s="8" t="n">
        <v>1</v>
      </c>
      <c r="H50" s="8" t="inlineStr">
        <is>
          <t>瓶</t>
        </is>
      </c>
      <c r="I50" s="8" t="n">
        <v>45</v>
      </c>
      <c r="J50" s="9">
        <f>G50*I50</f>
        <v/>
      </c>
    </row>
    <row r="51" ht="16" customHeight="1">
      <c r="A51" s="6" t="inlineStr">
        <is>
          <t>緩衝液/試劑</t>
        </is>
      </c>
      <c r="B51" s="7" t="inlineStr">
        <is>
          <t>0.22 μm 過濾器（Stericup）</t>
        </is>
      </c>
      <c r="C51" s="6" t="inlineStr">
        <is>
          <t>Millipore</t>
        </is>
      </c>
      <c r="D51" s="6" t="inlineStr">
        <is>
          <t>SCGVU01RE</t>
        </is>
      </c>
      <c r="E51" s="6" t="inlineStr">
        <is>
          <t>1/pack</t>
        </is>
      </c>
      <c r="F51" s="7" t="inlineStr">
        <is>
          <t>緩衝液滅菌過濾</t>
        </is>
      </c>
      <c r="G51" s="8" t="n">
        <v>2</v>
      </c>
      <c r="H51" s="8" t="inlineStr">
        <is>
          <t>個</t>
        </is>
      </c>
      <c r="I51" s="8" t="n">
        <v>30</v>
      </c>
      <c r="J51" s="9">
        <f>G51*I51</f>
        <v/>
      </c>
    </row>
    <row r="52" ht="16" customHeight="1">
      <c r="A52" s="6" t="inlineStr">
        <is>
          <t>緩衝液/試劑</t>
        </is>
      </c>
      <c r="B52" s="7" t="inlineStr">
        <is>
          <t>Trypan Blue 0.4%</t>
        </is>
      </c>
      <c r="C52" s="6" t="inlineStr">
        <is>
          <t>Sigma</t>
        </is>
      </c>
      <c r="D52" s="6" t="inlineStr">
        <is>
          <t>T8154</t>
        </is>
      </c>
      <c r="E52" s="6" t="inlineStr">
        <is>
          <t>100 mL</t>
        </is>
      </c>
      <c r="F52" s="7" t="inlineStr">
        <is>
          <t>細胞活性計數</t>
        </is>
      </c>
      <c r="G52" s="8" t="n">
        <v>1</v>
      </c>
      <c r="H52" s="8" t="inlineStr">
        <is>
          <t>瓶</t>
        </is>
      </c>
      <c r="I52" s="8" t="n">
        <v>30</v>
      </c>
      <c r="J52" s="9">
        <f>G52*I52</f>
        <v/>
      </c>
    </row>
    <row r="53" ht="18" customHeight="1">
      <c r="A53" s="22" t="inlineStr">
        <is>
          <t>▌ 設備/儀器</t>
        </is>
      </c>
      <c r="B53" s="23" t="inlineStr"/>
      <c r="C53" s="23" t="inlineStr"/>
      <c r="D53" s="23" t="inlineStr"/>
      <c r="E53" s="23" t="inlineStr"/>
      <c r="F53" s="23" t="inlineStr"/>
      <c r="G53" s="23" t="inlineStr"/>
      <c r="H53" s="23" t="inlineStr"/>
      <c r="I53" s="23" t="inlineStr"/>
      <c r="J53" s="23" t="inlineStr"/>
    </row>
    <row r="54" ht="16" customHeight="1">
      <c r="A54" s="6" t="inlineStr">
        <is>
          <t>設備/儀器</t>
        </is>
      </c>
      <c r="B54" s="7" t="inlineStr">
        <is>
          <t>Flow Cytometer（4-color）</t>
        </is>
      </c>
      <c r="C54" s="6" t="inlineStr">
        <is>
          <t>BD / Beckman</t>
        </is>
      </c>
      <c r="D54" s="6" t="inlineStr">
        <is>
          <t>—</t>
        </is>
      </c>
      <c r="E54" s="6" t="inlineStr">
        <is>
          <t>—</t>
        </is>
      </c>
      <c r="F54" s="7" t="inlineStr">
        <is>
          <t>BD FACSCanto II 或同等；4-color</t>
        </is>
      </c>
      <c r="G54" s="8" t="n">
        <v>1</v>
      </c>
      <c r="H54" s="8" t="inlineStr">
        <is>
          <t>台</t>
        </is>
      </c>
      <c r="I54" s="8" t="inlineStr"/>
      <c r="J54" s="8" t="inlineStr">
        <is>
          <t>—（待詢價）</t>
        </is>
      </c>
    </row>
    <row r="55" ht="16" customHeight="1">
      <c r="A55" s="6" t="inlineStr">
        <is>
          <t>設備/儀器</t>
        </is>
      </c>
      <c r="B55" s="7" t="inlineStr">
        <is>
          <t>Tube Rotator（旋轉混合器）</t>
        </is>
      </c>
      <c r="C55" s="6" t="inlineStr">
        <is>
          <t>各廠</t>
        </is>
      </c>
      <c r="D55" s="6" t="inlineStr">
        <is>
          <t>—</t>
        </is>
      </c>
      <c r="E55" s="6" t="inlineStr">
        <is>
          <t>10–15 rpm</t>
        </is>
      </c>
      <c r="F55" s="7" t="inlineStr">
        <is>
          <t>抗體孵育旋轉</t>
        </is>
      </c>
      <c r="G55" s="8" t="n">
        <v>1</v>
      </c>
      <c r="H55" s="8" t="inlineStr">
        <is>
          <t>台</t>
        </is>
      </c>
      <c r="I55" s="8" t="inlineStr"/>
      <c r="J55" s="8" t="inlineStr">
        <is>
          <t>—（待詢價）</t>
        </is>
      </c>
    </row>
    <row r="56" ht="16" customHeight="1">
      <c r="A56" s="6" t="inlineStr">
        <is>
          <t>設備/儀器</t>
        </is>
      </c>
      <c r="B56" s="7" t="inlineStr">
        <is>
          <t>離心機（swing-bucket）</t>
        </is>
      </c>
      <c r="C56" s="6" t="inlineStr">
        <is>
          <t>各廠</t>
        </is>
      </c>
      <c r="D56" s="6" t="inlineStr">
        <is>
          <t>—</t>
        </is>
      </c>
      <c r="E56" s="6" t="inlineStr">
        <is>
          <t>≥ 3,000 rpm</t>
        </is>
      </c>
      <c r="F56" s="7" t="inlineStr">
        <is>
          <t>細胞洗滌（300–400 × g）</t>
        </is>
      </c>
      <c r="G56" s="8" t="n">
        <v>1</v>
      </c>
      <c r="H56" s="8" t="inlineStr">
        <is>
          <t>台</t>
        </is>
      </c>
      <c r="I56" s="8" t="inlineStr"/>
      <c r="J56" s="8" t="inlineStr">
        <is>
          <t>—（待詢價）</t>
        </is>
      </c>
    </row>
    <row r="57" ht="16" customHeight="1">
      <c r="A57" s="6" t="inlineStr">
        <is>
          <t>設備/儀器</t>
        </is>
      </c>
      <c r="B57" s="7" t="inlineStr">
        <is>
          <t>CO₂ 細胞培養箱</t>
        </is>
      </c>
      <c r="C57" s="6" t="inlineStr">
        <is>
          <t>各廠</t>
        </is>
      </c>
      <c r="D57" s="6" t="inlineStr">
        <is>
          <t>—</t>
        </is>
      </c>
      <c r="E57" s="6" t="inlineStr">
        <is>
          <t>37°C, 5% CO₂</t>
        </is>
      </c>
      <c r="F57" s="7" t="inlineStr">
        <is>
          <t>cell line 維護</t>
        </is>
      </c>
      <c r="G57" s="8" t="n">
        <v>1</v>
      </c>
      <c r="H57" s="8" t="inlineStr">
        <is>
          <t>台</t>
        </is>
      </c>
      <c r="I57" s="8" t="inlineStr"/>
      <c r="J57" s="8" t="inlineStr">
        <is>
          <t>—（待詢價）</t>
        </is>
      </c>
    </row>
    <row r="58" ht="16" customHeight="1">
      <c r="A58" s="6" t="inlineStr">
        <is>
          <t>設備/儀器</t>
        </is>
      </c>
      <c r="B58" s="7" t="inlineStr">
        <is>
          <t>生物安全操作台（BSC Class II）</t>
        </is>
      </c>
      <c r="C58" s="6" t="inlineStr">
        <is>
          <t>各廠</t>
        </is>
      </c>
      <c r="D58" s="6" t="inlineStr">
        <is>
          <t>—</t>
        </is>
      </c>
      <c r="E58" s="6" t="inlineStr">
        <is>
          <t>Class II A2</t>
        </is>
      </c>
      <c r="F58" s="7" t="inlineStr">
        <is>
          <t>所有開管操作</t>
        </is>
      </c>
      <c r="G58" s="8" t="n">
        <v>1</v>
      </c>
      <c r="H58" s="8" t="inlineStr">
        <is>
          <t>台</t>
        </is>
      </c>
      <c r="I58" s="8" t="inlineStr"/>
      <c r="J58" s="8" t="inlineStr">
        <is>
          <t>—（待詢價）</t>
        </is>
      </c>
    </row>
    <row r="59" ht="16" customHeight="1">
      <c r="A59" s="6" t="inlineStr">
        <is>
          <t>設備/儀器</t>
        </is>
      </c>
      <c r="B59" s="7" t="inlineStr">
        <is>
          <t>倒置顯微鏡</t>
        </is>
      </c>
      <c r="C59" s="6" t="inlineStr">
        <is>
          <t>各廠</t>
        </is>
      </c>
      <c r="D59" s="6" t="inlineStr">
        <is>
          <t>—</t>
        </is>
      </c>
      <c r="E59" s="6" t="inlineStr">
        <is>
          <t>4×–20×</t>
        </is>
      </c>
      <c r="F59" s="7" t="inlineStr">
        <is>
          <t>細胞形態確認</t>
        </is>
      </c>
      <c r="G59" s="8" t="n">
        <v>1</v>
      </c>
      <c r="H59" s="8" t="inlineStr">
        <is>
          <t>台</t>
        </is>
      </c>
      <c r="I59" s="8" t="inlineStr"/>
      <c r="J59" s="8" t="inlineStr">
        <is>
          <t>—（待詢價）</t>
        </is>
      </c>
    </row>
    <row r="60" ht="16" customHeight="1">
      <c r="A60" s="6" t="inlineStr">
        <is>
          <t>設備/儀器</t>
        </is>
      </c>
      <c r="B60" s="7" t="inlineStr">
        <is>
          <t>細胞計數儀（LUNA-FL 或 Hemocytometer）</t>
        </is>
      </c>
      <c r="C60" s="6" t="inlineStr">
        <is>
          <t>Logos Bio</t>
        </is>
      </c>
      <c r="D60" s="6" t="inlineStr">
        <is>
          <t>—</t>
        </is>
      </c>
      <c r="E60" s="6" t="inlineStr">
        <is>
          <t>—</t>
        </is>
      </c>
      <c r="F60" s="7" t="inlineStr">
        <is>
          <t>細胞濃度/活性計數</t>
        </is>
      </c>
      <c r="G60" s="8" t="n">
        <v>1</v>
      </c>
      <c r="H60" s="8" t="inlineStr">
        <is>
          <t>台</t>
        </is>
      </c>
      <c r="I60" s="8" t="inlineStr"/>
      <c r="J60" s="8" t="inlineStr">
        <is>
          <t>—（待詢價）</t>
        </is>
      </c>
    </row>
    <row r="62">
      <c r="I62" s="24" t="inlineStr">
        <is>
          <t>已知項目小計 (USD):</t>
        </is>
      </c>
      <c r="J62" s="25">
        <f>SUMIF(J5:J60,"&lt;&gt;"&amp;"—（待詢價）",J5:J60)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12" customWidth="1" min="4" max="4"/>
  </cols>
  <sheetData>
    <row r="1">
      <c r="A1" s="26" t="inlineStr">
        <is>
          <t>版本</t>
        </is>
      </c>
      <c r="B1" s="26" t="inlineStr">
        <is>
          <t>日期</t>
        </is>
      </c>
      <c r="C1" s="26" t="inlineStr">
        <is>
          <t>說明</t>
        </is>
      </c>
      <c r="D1" s="26" t="inlineStr">
        <is>
          <t>負責人</t>
        </is>
      </c>
    </row>
    <row r="2">
      <c r="A2" s="27" t="inlineStr">
        <is>
          <t>v1.0</t>
        </is>
      </c>
      <c r="B2" s="27" t="inlineStr">
        <is>
          <t>2026-05-24</t>
        </is>
      </c>
      <c r="C2" s="27" t="inlineStr">
        <is>
          <t>初版建立：Flow Cytometry Pre-SOP 優化實驗預算</t>
        </is>
      </c>
      <c r="D2" s="27" t="inlineStr">
        <is>
          <t>YAO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2026-05-24T14:00:16Z</dcterms:created>
  <dcterms:modified xmlns:dcterms="http://purl.org/dc/terms/" xmlns:xsi="http://www.w3.org/2001/XMLSchema-instance" xsi:type="dcterms:W3CDTF">2026-05-24T14:00:16Z</dcterms:modified>
</cp:coreProperties>
</file>