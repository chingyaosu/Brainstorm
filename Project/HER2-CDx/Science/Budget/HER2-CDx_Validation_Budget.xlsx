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預算清單" sheetId="1" state="visible" r:id="rId1"/>
    <sheet xmlns:r="http://schemas.openxmlformats.org/officeDocument/2006/relationships" name="變更記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404040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888888"/>
      <sz val="9"/>
    </font>
    <font>
      <name val="Calibri"/>
      <b val="1"/>
      <color rgb="00FFFFFF"/>
      <sz val="12"/>
    </font>
    <font>
      <name val="Calibri"/>
      <i val="1"/>
      <color rgb="00CC0000"/>
      <sz val="9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4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4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right" vertical="center"/>
    </xf>
    <xf numFmtId="4" fontId="5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0" fontId="9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22" customWidth="1" min="5" max="5"/>
    <col width="12" customWidth="1" min="6" max="6"/>
    <col width="10" customWidth="1" min="7" max="7"/>
    <col width="14" customWidth="1" min="8" max="8"/>
    <col width="16" customWidth="1" min="9" max="9"/>
    <col width="48" customWidth="1" min="10" max="10"/>
  </cols>
  <sheetData>
    <row r="1" ht="32" customHeight="1">
      <c r="A1" s="1" t="inlineStr">
        <is>
          <t>HER2-CDx 驗證實驗預算清單（PRE-004 / ANA-001 / ANA-004）</t>
        </is>
      </c>
    </row>
    <row r="2" ht="16" customHeight="1">
      <c r="A2" s="2" t="inlineStr">
        <is>
          <t>估算範圍：驗證期 Phase 0~4（約 18–20 週，~100 次完整捕獲+染色實驗）  ｜  幣別：USD  ｜  版本：v1.0  ｜  日期：2026-05-24</t>
        </is>
      </c>
    </row>
    <row r="3" ht="6" customHeight="1"/>
    <row r="4" ht="30" customHeight="1">
      <c r="A4" s="3" t="inlineStr">
        <is>
          <t>類別</t>
        </is>
      </c>
      <c r="B4" s="3" t="inlineStr">
        <is>
          <t>品項名稱</t>
        </is>
      </c>
      <c r="C4" s="3" t="inlineStr">
        <is>
          <t>品牌 / 廠商</t>
        </is>
      </c>
      <c r="D4" s="3" t="inlineStr">
        <is>
          <t>Catalog # / 貨號</t>
        </is>
      </c>
      <c r="E4" s="3" t="inlineStr">
        <is>
          <t>規格</t>
        </is>
      </c>
      <c r="F4" s="3" t="inlineStr">
        <is>
          <t>預估用量</t>
        </is>
      </c>
      <c r="G4" s="3" t="inlineStr">
        <is>
          <t>單位</t>
        </is>
      </c>
      <c r="H4" s="3" t="inlineStr">
        <is>
          <t>單價 (USD)</t>
        </is>
      </c>
      <c r="I4" s="3" t="inlineStr">
        <is>
          <t>預估總價 (USD)</t>
        </is>
      </c>
      <c r="J4" s="3" t="inlineStr">
        <is>
          <t>備註</t>
        </is>
      </c>
    </row>
    <row r="5" ht="20" customHeight="1">
      <c r="A5" s="4" t="inlineStr">
        <is>
          <t>▌ 細胞株</t>
        </is>
      </c>
    </row>
    <row r="6" ht="20" customHeight="1">
      <c r="A6" s="5" t="inlineStr"/>
      <c r="B6" s="5" t="inlineStr">
        <is>
          <t>SK-BR-3（乳癌，HER2 3+）</t>
        </is>
      </c>
      <c r="C6" s="5" t="inlineStr">
        <is>
          <t>ATCC</t>
        </is>
      </c>
      <c r="D6" s="5" t="inlineStr">
        <is>
          <t>HTB-30</t>
        </is>
      </c>
      <c r="E6" s="5" t="inlineStr">
        <is>
          <t>凍存 vial</t>
        </is>
      </c>
      <c r="F6" s="6" t="n">
        <v>1</v>
      </c>
      <c r="G6" s="5" t="inlineStr">
        <is>
          <t>vial</t>
        </is>
      </c>
      <c r="H6" s="7" t="n">
        <v>600</v>
      </c>
      <c r="I6" s="7">
        <f>F6*H6</f>
        <v/>
      </c>
      <c r="J6" s="8" t="inlineStr">
        <is>
          <t>主要陽性對照；HER2 3+ IHC equivalent；捕獲 + 染色 QC 必備</t>
        </is>
      </c>
    </row>
    <row r="7" ht="20" customHeight="1">
      <c r="A7" s="5" t="inlineStr"/>
      <c r="B7" s="5" t="inlineStr">
        <is>
          <t>MCF-7（乳癌，HER2 1+/2+）</t>
        </is>
      </c>
      <c r="C7" s="5" t="inlineStr">
        <is>
          <t>ATCC</t>
        </is>
      </c>
      <c r="D7" s="5" t="inlineStr">
        <is>
          <t>HTB-22</t>
        </is>
      </c>
      <c r="E7" s="5" t="inlineStr">
        <is>
          <t>凍存 vial</t>
        </is>
      </c>
      <c r="F7" s="6" t="n">
        <v>1</v>
      </c>
      <c r="G7" s="5" t="inlineStr">
        <is>
          <t>vial</t>
        </is>
      </c>
      <c r="H7" s="7" t="n">
        <v>600</v>
      </c>
      <c r="I7" s="7">
        <f>F7*H7</f>
        <v/>
      </c>
      <c r="J7" s="8" t="inlineStr">
        <is>
          <t>低表現 HER2；EpCAM+++；測試低訊號偵測靈敏度</t>
        </is>
      </c>
    </row>
    <row r="8" ht="20" customHeight="1">
      <c r="A8" s="5" t="inlineStr"/>
      <c r="B8" s="5" t="inlineStr">
        <is>
          <t>MDA-MB-231（乳癌，HER2 0）</t>
        </is>
      </c>
      <c r="C8" s="5" t="inlineStr">
        <is>
          <t>ATCC</t>
        </is>
      </c>
      <c r="D8" s="5" t="inlineStr">
        <is>
          <t>HTB-26</t>
        </is>
      </c>
      <c r="E8" s="5" t="inlineStr">
        <is>
          <t>凍存 vial</t>
        </is>
      </c>
      <c r="F8" s="6" t="n">
        <v>1</v>
      </c>
      <c r="G8" s="5" t="inlineStr">
        <is>
          <t>vial</t>
        </is>
      </c>
      <c r="H8" s="7" t="n">
        <v>600</v>
      </c>
      <c r="I8" s="7">
        <f>F8*H8</f>
        <v/>
      </c>
      <c r="J8" s="8" t="inlineStr">
        <is>
          <t>HER2 陰性對照；部分 EMT 表現型</t>
        </is>
      </c>
    </row>
    <row r="9" ht="20" customHeight="1">
      <c r="A9" s="5" t="inlineStr"/>
      <c r="B9" s="5" t="inlineStr">
        <is>
          <t>Jurkat（T 細胞白血病，CD45+）</t>
        </is>
      </c>
      <c r="C9" s="5" t="inlineStr">
        <is>
          <t>ATCC</t>
        </is>
      </c>
      <c r="D9" s="5" t="inlineStr">
        <is>
          <t>TIB-152</t>
        </is>
      </c>
      <c r="E9" s="5" t="inlineStr">
        <is>
          <t>凍存 vial</t>
        </is>
      </c>
      <c r="F9" s="6" t="n">
        <v>1</v>
      </c>
      <c r="G9" s="5" t="inlineStr">
        <is>
          <t>vial</t>
        </is>
      </c>
      <c r="H9" s="7" t="n">
        <v>600</v>
      </c>
      <c r="I9" s="7">
        <f>F9*H9</f>
        <v/>
      </c>
      <c r="J9" s="8" t="inlineStr">
        <is>
          <t>CD45+ WBC 對照；驗證 CTC 排除機制</t>
        </is>
      </c>
    </row>
    <row r="10" ht="20" customHeight="1">
      <c r="A10" s="5" t="inlineStr"/>
      <c r="B10" s="5" t="inlineStr">
        <is>
          <t>HCT116（大腸癌，EMT 中間型）</t>
        </is>
      </c>
      <c r="C10" s="5" t="inlineStr">
        <is>
          <t>ATCC</t>
        </is>
      </c>
      <c r="D10" s="5" t="inlineStr">
        <is>
          <t>CCL-247</t>
        </is>
      </c>
      <c r="E10" s="5" t="inlineStr">
        <is>
          <t>凍存 vial</t>
        </is>
      </c>
      <c r="F10" s="6" t="n">
        <v>1</v>
      </c>
      <c r="G10" s="5" t="inlineStr">
        <is>
          <t>vial</t>
        </is>
      </c>
      <c r="H10" s="7" t="n">
        <v>600</v>
      </c>
      <c r="I10" s="7">
        <f>F10*H10</f>
        <v/>
      </c>
      <c r="J10" s="8" t="inlineStr">
        <is>
          <t>EMT 中間型 CTC 模擬；EpCAM low</t>
        </is>
      </c>
    </row>
    <row r="11" ht="20" customHeight="1">
      <c r="A11" s="5" t="inlineStr"/>
      <c r="B11" s="5" t="inlineStr">
        <is>
          <t>BT-474（乳癌，HER2 3+，備用）</t>
        </is>
      </c>
      <c r="C11" s="5" t="inlineStr">
        <is>
          <t>ATCC</t>
        </is>
      </c>
      <c r="D11" s="5" t="inlineStr">
        <is>
          <t>HTB-20</t>
        </is>
      </c>
      <c r="E11" s="5" t="inlineStr">
        <is>
          <t>凍存 vial</t>
        </is>
      </c>
      <c r="F11" s="6" t="n">
        <v>1</v>
      </c>
      <c r="G11" s="5" t="inlineStr">
        <is>
          <t>vial</t>
        </is>
      </c>
      <c r="H11" s="7" t="n">
        <v>600</v>
      </c>
      <c r="I11" s="7">
        <f>F11*H11</f>
        <v/>
      </c>
      <c r="J11" s="8" t="inlineStr">
        <is>
          <t>備用陽性對照；若 SK-BR-3 HER2 漂移則替換</t>
        </is>
      </c>
    </row>
    <row r="12" ht="20" customHeight="1">
      <c r="A12" s="4" t="inlineStr">
        <is>
          <t>▌ 細胞培養基與試劑</t>
        </is>
      </c>
    </row>
    <row r="13" ht="20" customHeight="1">
      <c r="A13" s="9" t="inlineStr"/>
      <c r="B13" s="9" t="inlineStr">
        <is>
          <t>DMEM High Glucose（1×）</t>
        </is>
      </c>
      <c r="C13" s="9" t="inlineStr">
        <is>
          <t>Gibco / Thermo</t>
        </is>
      </c>
      <c r="D13" s="9" t="inlineStr">
        <is>
          <t>11965092</t>
        </is>
      </c>
      <c r="E13" s="9" t="inlineStr">
        <is>
          <t>500 mL / 瓶</t>
        </is>
      </c>
      <c r="F13" s="10" t="n">
        <v>6</v>
      </c>
      <c r="G13" s="9" t="inlineStr">
        <is>
          <t>瓶</t>
        </is>
      </c>
      <c r="H13" s="11" t="n">
        <v>20</v>
      </c>
      <c r="I13" s="11">
        <f>F13*H13</f>
        <v/>
      </c>
      <c r="J13" s="12" t="inlineStr">
        <is>
          <t>SK-BR-3、MDA-MB-231、HCT116、BT-474 培養</t>
        </is>
      </c>
    </row>
    <row r="14" ht="20" customHeight="1">
      <c r="A14" s="9" t="inlineStr"/>
      <c r="B14" s="9" t="inlineStr">
        <is>
          <t>RPMI-1640（1×）</t>
        </is>
      </c>
      <c r="C14" s="9" t="inlineStr">
        <is>
          <t>Gibco / Thermo</t>
        </is>
      </c>
      <c r="D14" s="9" t="inlineStr">
        <is>
          <t>11875093</t>
        </is>
      </c>
      <c r="E14" s="9" t="inlineStr">
        <is>
          <t>500 mL / 瓶</t>
        </is>
      </c>
      <c r="F14" s="10" t="n">
        <v>4</v>
      </c>
      <c r="G14" s="9" t="inlineStr">
        <is>
          <t>瓶</t>
        </is>
      </c>
      <c r="H14" s="11" t="n">
        <v>20</v>
      </c>
      <c r="I14" s="11">
        <f>F14*H14</f>
        <v/>
      </c>
      <c r="J14" s="12" t="inlineStr">
        <is>
          <t>MCF-7、Jurkat 培養</t>
        </is>
      </c>
    </row>
    <row r="15" ht="20" customHeight="1">
      <c r="A15" s="9" t="inlineStr"/>
      <c r="B15" s="9" t="inlineStr">
        <is>
          <t>Fetal Bovine Serum (FBS)</t>
        </is>
      </c>
      <c r="C15" s="9" t="inlineStr">
        <is>
          <t>Gibco / Thermo</t>
        </is>
      </c>
      <c r="D15" s="9" t="inlineStr">
        <is>
          <t>16000044</t>
        </is>
      </c>
      <c r="E15" s="9" t="inlineStr">
        <is>
          <t>500 mL / 瓶</t>
        </is>
      </c>
      <c r="F15" s="10" t="n">
        <v>4</v>
      </c>
      <c r="G15" s="9" t="inlineStr">
        <is>
          <t>瓶</t>
        </is>
      </c>
      <c r="H15" s="11" t="n">
        <v>320</v>
      </c>
      <c r="I15" s="11">
        <f>F15*H15</f>
        <v/>
      </c>
      <c r="J15" s="12" t="inlineStr">
        <is>
          <t>10% 添加量；5 個月用量估算</t>
        </is>
      </c>
    </row>
    <row r="16" ht="20" customHeight="1">
      <c r="A16" s="9" t="inlineStr"/>
      <c r="B16" s="9" t="inlineStr">
        <is>
          <t>L-Glutamine 200 mM</t>
        </is>
      </c>
      <c r="C16" s="9" t="inlineStr">
        <is>
          <t>Gibco / Thermo</t>
        </is>
      </c>
      <c r="D16" s="9" t="inlineStr">
        <is>
          <t>25030081</t>
        </is>
      </c>
      <c r="E16" s="9" t="inlineStr">
        <is>
          <t>100 mL / 瓶</t>
        </is>
      </c>
      <c r="F16" s="10" t="n">
        <v>2</v>
      </c>
      <c r="G16" s="9" t="inlineStr">
        <is>
          <t>瓶</t>
        </is>
      </c>
      <c r="H16" s="11" t="n">
        <v>18</v>
      </c>
      <c r="I16" s="11">
        <f>F16*H16</f>
        <v/>
      </c>
      <c r="J16" s="12" t="inlineStr">
        <is>
          <t>2 mM 終濃度添加</t>
        </is>
      </c>
    </row>
    <row r="17" ht="20" customHeight="1">
      <c r="A17" s="9" t="inlineStr"/>
      <c r="B17" s="9" t="inlineStr">
        <is>
          <t>Penicillin-Streptomycin（100×）</t>
        </is>
      </c>
      <c r="C17" s="9" t="inlineStr">
        <is>
          <t>Gibco / Thermo</t>
        </is>
      </c>
      <c r="D17" s="9" t="inlineStr">
        <is>
          <t>15140122</t>
        </is>
      </c>
      <c r="E17" s="9" t="inlineStr">
        <is>
          <t>100 mL / 瓶</t>
        </is>
      </c>
      <c r="F17" s="10" t="n">
        <v>2</v>
      </c>
      <c r="G17" s="9" t="inlineStr">
        <is>
          <t>瓶</t>
        </is>
      </c>
      <c r="H17" s="11" t="n">
        <v>55</v>
      </c>
      <c r="I17" s="11">
        <f>F17*H17</f>
        <v/>
      </c>
      <c r="J17" s="12" t="inlineStr">
        <is>
          <t>1× 添加</t>
        </is>
      </c>
    </row>
    <row r="18" ht="20" customHeight="1">
      <c r="A18" s="9" t="inlineStr"/>
      <c r="B18" s="9" t="inlineStr">
        <is>
          <t>Trypsin-EDTA 0.25%</t>
        </is>
      </c>
      <c r="C18" s="9" t="inlineStr">
        <is>
          <t>Gibco / Thermo</t>
        </is>
      </c>
      <c r="D18" s="9" t="inlineStr">
        <is>
          <t>25200056</t>
        </is>
      </c>
      <c r="E18" s="9" t="inlineStr">
        <is>
          <t>100 mL / 瓶</t>
        </is>
      </c>
      <c r="F18" s="10" t="n">
        <v>3</v>
      </c>
      <c r="G18" s="9" t="inlineStr">
        <is>
          <t>瓶</t>
        </is>
      </c>
      <c r="H18" s="11" t="n">
        <v>32</v>
      </c>
      <c r="I18" s="11">
        <f>F18*H18</f>
        <v/>
      </c>
      <c r="J18" s="12" t="inlineStr">
        <is>
          <t>細胞傳代</t>
        </is>
      </c>
    </row>
    <row r="19" ht="20" customHeight="1">
      <c r="A19" s="9" t="inlineStr"/>
      <c r="B19" s="9" t="inlineStr">
        <is>
          <t>MEM Non-Essential Amino Acids（100×）</t>
        </is>
      </c>
      <c r="C19" s="9" t="inlineStr">
        <is>
          <t>Gibco / Thermo</t>
        </is>
      </c>
      <c r="D19" s="9" t="inlineStr">
        <is>
          <t>11140050</t>
        </is>
      </c>
      <c r="E19" s="9" t="inlineStr">
        <is>
          <t>100 mL / 瓶</t>
        </is>
      </c>
      <c r="F19" s="10" t="n">
        <v>1</v>
      </c>
      <c r="G19" s="9" t="inlineStr">
        <is>
          <t>瓶</t>
        </is>
      </c>
      <c r="H19" s="11" t="n">
        <v>15</v>
      </c>
      <c r="I19" s="11">
        <f>F19*H19</f>
        <v/>
      </c>
      <c r="J19" s="12" t="inlineStr">
        <is>
          <t>MCF-7 培養必需</t>
        </is>
      </c>
    </row>
    <row r="20" ht="20" customHeight="1">
      <c r="A20" s="9" t="inlineStr"/>
      <c r="B20" s="9" t="inlineStr">
        <is>
          <t>DMSO（細胞凍存）</t>
        </is>
      </c>
      <c r="C20" s="9" t="inlineStr">
        <is>
          <t>Sigma-Aldrich</t>
        </is>
      </c>
      <c r="D20" s="9" t="inlineStr">
        <is>
          <t>D2650</t>
        </is>
      </c>
      <c r="E20" s="9" t="inlineStr">
        <is>
          <t>50 mL / 瓶</t>
        </is>
      </c>
      <c r="F20" s="10" t="n">
        <v>1</v>
      </c>
      <c r="G20" s="9" t="inlineStr">
        <is>
          <t>瓶</t>
        </is>
      </c>
      <c r="H20" s="11" t="n">
        <v>35</v>
      </c>
      <c r="I20" s="11">
        <f>F20*H20</f>
        <v/>
      </c>
      <c r="J20" s="12" t="inlineStr">
        <is>
          <t>凍存液 10% DMSO</t>
        </is>
      </c>
    </row>
    <row r="21" ht="20" customHeight="1">
      <c r="A21" s="9" t="inlineStr"/>
      <c r="B21" s="9" t="inlineStr">
        <is>
          <t>培養瓶 T-75 Cell Culture Flask</t>
        </is>
      </c>
      <c r="C21" s="9" t="inlineStr">
        <is>
          <t>Corning</t>
        </is>
      </c>
      <c r="D21" s="9" t="inlineStr">
        <is>
          <t>430641U</t>
        </is>
      </c>
      <c r="E21" s="9" t="inlineStr">
        <is>
          <t>10 個 / 包</t>
        </is>
      </c>
      <c r="F21" s="10" t="n">
        <v>5</v>
      </c>
      <c r="G21" s="9" t="inlineStr">
        <is>
          <t>包</t>
        </is>
      </c>
      <c r="H21" s="11" t="n">
        <v>40</v>
      </c>
      <c r="I21" s="11">
        <f>F21*H21</f>
        <v/>
      </c>
      <c r="J21" s="12" t="inlineStr">
        <is>
          <t>主要傳代用</t>
        </is>
      </c>
    </row>
    <row r="22" ht="20" customHeight="1">
      <c r="A22" s="9" t="inlineStr"/>
      <c r="B22" s="9" t="inlineStr">
        <is>
          <t>培養瓶 T-25 Cell Culture Flask</t>
        </is>
      </c>
      <c r="C22" s="9" t="inlineStr">
        <is>
          <t>Corning</t>
        </is>
      </c>
      <c r="D22" s="9" t="inlineStr">
        <is>
          <t>430639</t>
        </is>
      </c>
      <c r="E22" s="9" t="inlineStr">
        <is>
          <t>10 個 / 包</t>
        </is>
      </c>
      <c r="F22" s="10" t="n">
        <v>2</v>
      </c>
      <c r="G22" s="9" t="inlineStr">
        <is>
          <t>包</t>
        </is>
      </c>
      <c r="H22" s="11" t="n">
        <v>25</v>
      </c>
      <c r="I22" s="11">
        <f>F22*H22</f>
        <v/>
      </c>
      <c r="J22" s="12" t="inlineStr">
        <is>
          <t>解凍初始擴增</t>
        </is>
      </c>
    </row>
    <row r="23" ht="20" customHeight="1">
      <c r="A23" s="9" t="inlineStr"/>
      <c r="B23" s="9" t="inlineStr">
        <is>
          <t>6-well plate</t>
        </is>
      </c>
      <c r="C23" s="9" t="inlineStr">
        <is>
          <t>Corning</t>
        </is>
      </c>
      <c r="D23" s="9" t="inlineStr">
        <is>
          <t>3516</t>
        </is>
      </c>
      <c r="E23" s="9" t="inlineStr">
        <is>
          <t>20 個 / 包</t>
        </is>
      </c>
      <c r="F23" s="10" t="n">
        <v>2</v>
      </c>
      <c r="G23" s="9" t="inlineStr">
        <is>
          <t>包</t>
        </is>
      </c>
      <c r="H23" s="11" t="n">
        <v>40</v>
      </c>
      <c r="I23" s="11">
        <f>F23*H23</f>
        <v/>
      </c>
      <c r="J23" s="12" t="inlineStr">
        <is>
          <t>Spiking 細胞短暫暫存</t>
        </is>
      </c>
    </row>
    <row r="24" ht="20" customHeight="1">
      <c r="A24" s="9" t="inlineStr"/>
      <c r="B24" s="9" t="inlineStr">
        <is>
          <t>Cryovial 1.8 mL 凍存管</t>
        </is>
      </c>
      <c r="C24" s="9" t="inlineStr">
        <is>
          <t>Nunc / Thermo</t>
        </is>
      </c>
      <c r="D24" s="9" t="inlineStr">
        <is>
          <t>377267</t>
        </is>
      </c>
      <c r="E24" s="9" t="inlineStr">
        <is>
          <t>50 個 / 盒</t>
        </is>
      </c>
      <c r="F24" s="10" t="n">
        <v>1</v>
      </c>
      <c r="G24" s="9" t="inlineStr">
        <is>
          <t>盒</t>
        </is>
      </c>
      <c r="H24" s="11" t="n">
        <v>30</v>
      </c>
      <c r="I24" s="11">
        <f>F24*H24</f>
        <v/>
      </c>
      <c r="J24" s="12" t="inlineStr">
        <is>
          <t>主種子細胞凍存</t>
        </is>
      </c>
    </row>
    <row r="25" ht="20" customHeight="1">
      <c r="A25" s="9" t="inlineStr"/>
      <c r="B25" s="9" t="inlineStr">
        <is>
          <t>Mycoplasma 检測試劑盒</t>
        </is>
      </c>
      <c r="C25" s="9" t="inlineStr">
        <is>
          <t>ATCC</t>
        </is>
      </c>
      <c r="D25" s="9" t="inlineStr">
        <is>
          <t>30-1012K</t>
        </is>
      </c>
      <c r="E25" s="9" t="inlineStr">
        <is>
          <t>20 test / 盒</t>
        </is>
      </c>
      <c r="F25" s="10" t="n">
        <v>1</v>
      </c>
      <c r="G25" s="9" t="inlineStr">
        <is>
          <t>盒</t>
        </is>
      </c>
      <c r="H25" s="11" t="n">
        <v>150</v>
      </c>
      <c r="I25" s="11">
        <f>F25*H25</f>
        <v/>
      </c>
      <c r="J25" s="12" t="inlineStr">
        <is>
          <t>Phase 0 細胞株品質確認必做</t>
        </is>
      </c>
    </row>
    <row r="26" ht="20" customHeight="1">
      <c r="A26" s="9" t="inlineStr"/>
      <c r="B26" s="9" t="inlineStr">
        <is>
          <t>STR Profiling 服務（外送）</t>
        </is>
      </c>
      <c r="C26" s="9" t="inlineStr">
        <is>
          <t>外部認證機構</t>
        </is>
      </c>
      <c r="D26" s="9" t="inlineStr">
        <is>
          <t>—</t>
        </is>
      </c>
      <c r="E26" s="9" t="inlineStr">
        <is>
          <t>per cell line</t>
        </is>
      </c>
      <c r="F26" s="10" t="n">
        <v>5</v>
      </c>
      <c r="G26" s="9" t="inlineStr">
        <is>
          <t>株</t>
        </is>
      </c>
      <c r="H26" s="11" t="n">
        <v>150</v>
      </c>
      <c r="I26" s="11">
        <f>F26*H26</f>
        <v/>
      </c>
      <c r="J26" s="12" t="inlineStr">
        <is>
          <t>Phase 0 身份確認；費用含送測 + 報告</t>
        </is>
      </c>
    </row>
    <row r="27" ht="20" customHeight="1">
      <c r="A27" s="4" t="inlineStr">
        <is>
          <t>▌ PRE-004 試劑</t>
        </is>
      </c>
    </row>
    <row r="28" ht="20" customHeight="1">
      <c r="A28" s="13" t="inlineStr"/>
      <c r="B28" s="13" t="inlineStr">
        <is>
          <t>Ficoll-Paque PLUS（密度 1.077 g/mL）</t>
        </is>
      </c>
      <c r="C28" s="13" t="inlineStr">
        <is>
          <t>Cytiva / GE</t>
        </is>
      </c>
      <c r="D28" s="13" t="inlineStr">
        <is>
          <t>17-1440-02</t>
        </is>
      </c>
      <c r="E28" s="13" t="inlineStr">
        <is>
          <t>500 mL / 瓶</t>
        </is>
      </c>
      <c r="F28" s="14" t="n">
        <v>2</v>
      </c>
      <c r="G28" s="13" t="inlineStr">
        <is>
          <t>瓶</t>
        </is>
      </c>
      <c r="H28" s="15" t="n">
        <v>180</v>
      </c>
      <c r="I28" s="15">
        <f>F28*H28</f>
        <v/>
      </c>
      <c r="J28" s="16" t="inlineStr">
        <is>
          <t>Method A；15 mL/run；約 33 runs/瓶</t>
        </is>
      </c>
    </row>
    <row r="29" ht="20" customHeight="1">
      <c r="A29" s="13" t="inlineStr"/>
      <c r="B29" s="13" t="inlineStr">
        <is>
          <t>PBS 10× Concentrate（無 Ca/Mg）</t>
        </is>
      </c>
      <c r="C29" s="13" t="inlineStr">
        <is>
          <t>Gibco / Thermo</t>
        </is>
      </c>
      <c r="D29" s="13" t="inlineStr">
        <is>
          <t>70011044</t>
        </is>
      </c>
      <c r="E29" s="13" t="inlineStr">
        <is>
          <t>1 L / 瓶</t>
        </is>
      </c>
      <c r="F29" s="14" t="n">
        <v>5</v>
      </c>
      <c r="G29" s="13" t="inlineStr">
        <is>
          <t>瓶</t>
        </is>
      </c>
      <c r="H29" s="15" t="n">
        <v>25</v>
      </c>
      <c r="I29" s="15">
        <f>F29*H29</f>
        <v/>
      </c>
      <c r="J29" s="16" t="inlineStr">
        <is>
          <t>配製 Running Buffer &amp; 洗滌；ANA-001 共用</t>
        </is>
      </c>
    </row>
    <row r="30" ht="20" customHeight="1">
      <c r="A30" s="13" t="inlineStr"/>
      <c r="B30" s="13" t="inlineStr">
        <is>
          <t>BSA Fraction V（Bovine Serum Albumin）</t>
        </is>
      </c>
      <c r="C30" s="13" t="inlineStr">
        <is>
          <t>Sigma-Aldrich</t>
        </is>
      </c>
      <c r="D30" s="13" t="inlineStr">
        <is>
          <t>A9418</t>
        </is>
      </c>
      <c r="E30" s="13" t="inlineStr">
        <is>
          <t>100 g / 瓶</t>
        </is>
      </c>
      <c r="F30" s="14" t="n">
        <v>1</v>
      </c>
      <c r="G30" s="13" t="inlineStr">
        <is>
          <t>瓶</t>
        </is>
      </c>
      <c r="H30" s="15" t="n">
        <v>120</v>
      </c>
      <c r="I30" s="15">
        <f>F30*H30</f>
        <v/>
      </c>
      <c r="J30" s="16" t="inlineStr">
        <is>
          <t>Running Buffer 2% BSA；ANA-001 &amp; ANA-004 共用</t>
        </is>
      </c>
    </row>
    <row r="31" ht="20" customHeight="1">
      <c r="A31" s="13" t="inlineStr"/>
      <c r="B31" s="13" t="inlineStr">
        <is>
          <t>EDTA 0.5 M Solution pH 8.0</t>
        </is>
      </c>
      <c r="C31" s="13" t="inlineStr">
        <is>
          <t>Sigma-Aldrich</t>
        </is>
      </c>
      <c r="D31" s="13" t="inlineStr">
        <is>
          <t>03690</t>
        </is>
      </c>
      <c r="E31" s="13" t="inlineStr">
        <is>
          <t>100 mL / 瓶</t>
        </is>
      </c>
      <c r="F31" s="14" t="n">
        <v>2</v>
      </c>
      <c r="G31" s="13" t="inlineStr">
        <is>
          <t>瓶</t>
        </is>
      </c>
      <c r="H31" s="15" t="n">
        <v>25</v>
      </c>
      <c r="I31" s="15">
        <f>F31*H31</f>
        <v/>
      </c>
      <c r="J31" s="16" t="inlineStr">
        <is>
          <t>Running Buffer 2 mM EDTA；ANA-001 共用</t>
        </is>
      </c>
    </row>
    <row r="32" ht="20" customHeight="1">
      <c r="A32" s="13" t="inlineStr"/>
      <c r="B32" s="13" t="inlineStr">
        <is>
          <t>Trypan Blue 0.4%</t>
        </is>
      </c>
      <c r="C32" s="13" t="inlineStr">
        <is>
          <t>Gibco / Thermo</t>
        </is>
      </c>
      <c r="D32" s="13" t="inlineStr">
        <is>
          <t>15250061</t>
        </is>
      </c>
      <c r="E32" s="13" t="inlineStr">
        <is>
          <t>100 mL / 瓶</t>
        </is>
      </c>
      <c r="F32" s="14" t="n">
        <v>1</v>
      </c>
      <c r="G32" s="13" t="inlineStr">
        <is>
          <t>瓶</t>
        </is>
      </c>
      <c r="H32" s="15" t="n">
        <v>25</v>
      </c>
      <c r="I32" s="15">
        <f>F32*H32</f>
        <v/>
      </c>
      <c r="J32" s="16" t="inlineStr">
        <is>
          <t>PBMC 活性計數；10 μL/count × ~200 次</t>
        </is>
      </c>
    </row>
    <row r="33" ht="20" customHeight="1">
      <c r="A33" s="4" t="inlineStr">
        <is>
          <t>▌ ANA-001 捕獲抗體</t>
        </is>
      </c>
    </row>
    <row r="34" ht="20" customHeight="1">
      <c r="A34" s="17" t="inlineStr"/>
      <c r="B34" s="17" t="inlineStr">
        <is>
          <t>Biotinylated Anti-Human EpCAM</t>
        </is>
      </c>
      <c r="C34" s="17" t="inlineStr">
        <is>
          <t>R&amp;D Systems</t>
        </is>
      </c>
      <c r="D34" s="17" t="inlineStr">
        <is>
          <t>BAF960</t>
        </is>
      </c>
      <c r="E34" s="17" t="inlineStr">
        <is>
          <t>100 μg / vial</t>
        </is>
      </c>
      <c r="F34" s="18" t="n">
        <v>15</v>
      </c>
      <c r="G34" s="17" t="inlineStr">
        <is>
          <t>vial</t>
        </is>
      </c>
      <c r="H34" s="19" t="n">
        <v>325</v>
      </c>
      <c r="I34" s="19">
        <f>F34*H34</f>
        <v/>
      </c>
      <c r="J34" s="20" t="inlineStr">
        <is>
          <t>5 μg/mL × 4 mL = 20 μg/run；~100 runs = 2,000 μg = 20 vials；Phase 1 最佳化後調整</t>
        </is>
      </c>
    </row>
    <row r="35" ht="20" customHeight="1">
      <c r="A35" s="17" t="inlineStr"/>
      <c r="B35" s="17" t="inlineStr">
        <is>
          <t>Biotinylated Anti-Human HER2</t>
        </is>
      </c>
      <c r="C35" s="17" t="inlineStr">
        <is>
          <t>R&amp;D Systems</t>
        </is>
      </c>
      <c r="D35" s="17" t="inlineStr">
        <is>
          <t>BAF1129</t>
        </is>
      </c>
      <c r="E35" s="17" t="inlineStr">
        <is>
          <t>100 μg / vial</t>
        </is>
      </c>
      <c r="F35" s="18" t="n">
        <v>15</v>
      </c>
      <c r="G35" s="17" t="inlineStr">
        <is>
          <t>vial</t>
        </is>
      </c>
      <c r="H35" s="19" t="n">
        <v>325</v>
      </c>
      <c r="I35" s="19">
        <f>F35*H35</f>
        <v/>
      </c>
      <c r="J35" s="20" t="inlineStr">
        <is>
          <t>同上</t>
        </is>
      </c>
    </row>
    <row r="36" ht="20" customHeight="1">
      <c r="A36" s="17" t="inlineStr"/>
      <c r="B36" s="17" t="inlineStr">
        <is>
          <t>Biotinylated Anti-Human EGFR</t>
        </is>
      </c>
      <c r="C36" s="17" t="inlineStr">
        <is>
          <t>R&amp;D Systems</t>
        </is>
      </c>
      <c r="D36" s="17" t="inlineStr">
        <is>
          <t>BAF231</t>
        </is>
      </c>
      <c r="E36" s="17" t="inlineStr">
        <is>
          <t>100 μg / vial</t>
        </is>
      </c>
      <c r="F36" s="18" t="n">
        <v>15</v>
      </c>
      <c r="G36" s="17" t="inlineStr">
        <is>
          <t>vial</t>
        </is>
      </c>
      <c r="H36" s="19" t="n">
        <v>325</v>
      </c>
      <c r="I36" s="19">
        <f>F36*H36</f>
        <v/>
      </c>
      <c r="J36" s="20" t="inlineStr">
        <is>
          <t>同上</t>
        </is>
      </c>
    </row>
    <row r="37" ht="20" customHeight="1">
      <c r="A37" s="4" t="inlineStr">
        <is>
          <t>▌ ANA-004 染色抗體</t>
        </is>
      </c>
    </row>
    <row r="38" ht="20" customHeight="1">
      <c r="A38" s="5" t="inlineStr"/>
      <c r="B38" s="5" t="inlineStr">
        <is>
          <t>Anti-HER2 Rabbit Unconjugated（CB11 / SP3 clone）</t>
        </is>
      </c>
      <c r="C38" s="5" t="inlineStr">
        <is>
          <t>Leica / Abcam / Agilent</t>
        </is>
      </c>
      <c r="D38" s="5" t="inlineStr">
        <is>
          <t>多家可選</t>
        </is>
      </c>
      <c r="E38" s="5" t="inlineStr">
        <is>
          <t>1 mL concentrate</t>
        </is>
      </c>
      <c r="F38" s="6" t="n">
        <v>3</v>
      </c>
      <c r="G38" s="5" t="inlineStr">
        <is>
          <t>支</t>
        </is>
      </c>
      <c r="H38" s="7" t="n">
        <v>350</v>
      </c>
      <c r="I38" s="7">
        <f>F38*H38</f>
        <v/>
      </c>
      <c r="J38" s="8" t="inlineStr">
        <is>
          <t>IF Indirect 策略用；P1-Test 2b 決定 clone 後更新 Catalog#</t>
        </is>
      </c>
    </row>
    <row r="39" ht="20" customHeight="1">
      <c r="A39" s="5" t="inlineStr"/>
      <c r="B39" s="5" t="inlineStr">
        <is>
          <t>Anti-HER2-FITC Direct Conjugated（備選）</t>
        </is>
      </c>
      <c r="C39" s="5" t="inlineStr">
        <is>
          <t>多家可選（待評估）</t>
        </is>
      </c>
      <c r="D39" s="5" t="inlineStr">
        <is>
          <t>待定</t>
        </is>
      </c>
      <c r="E39" s="5" t="inlineStr">
        <is>
          <t>100 μg / vial</t>
        </is>
      </c>
      <c r="F39" s="6" t="n">
        <v>2</v>
      </c>
      <c r="G39" s="5" t="inlineStr">
        <is>
          <t>vial</t>
        </is>
      </c>
      <c r="H39" s="6" t="n"/>
      <c r="I39" s="21" t="inlineStr">
        <is>
          <t>—（待詢價）</t>
        </is>
      </c>
      <c r="J39" s="8" t="inlineStr">
        <is>
          <t>IF Direct 策略；若 P1-Test 2b 選 Direct 則採購；先空白</t>
        </is>
      </c>
    </row>
    <row r="40" ht="20" customHeight="1">
      <c r="A40" s="5" t="inlineStr"/>
      <c r="B40" s="5" t="inlineStr">
        <is>
          <t>Anti-Pan Cytokeratin-PE（AE1/AE3 clone）</t>
        </is>
      </c>
      <c r="C40" s="5" t="inlineStr">
        <is>
          <t>Miltenyi Biotec</t>
        </is>
      </c>
      <c r="D40" s="5" t="inlineStr">
        <is>
          <t>130-113-533 或等效</t>
        </is>
      </c>
      <c r="E40" s="5" t="inlineStr">
        <is>
          <t>50–100 μg / vial</t>
        </is>
      </c>
      <c r="F40" s="6" t="n">
        <v>4</v>
      </c>
      <c r="G40" s="5" t="inlineStr">
        <is>
          <t>vial</t>
        </is>
      </c>
      <c r="H40" s="7" t="n">
        <v>280</v>
      </c>
      <c r="I40" s="7">
        <f>F40*H40</f>
        <v/>
      </c>
      <c r="J40" s="8" t="inlineStr">
        <is>
          <t>CTC 上皮標記；Direct PE conjugated；避免與 CD45 鼠源二級抗體衝突</t>
        </is>
      </c>
    </row>
    <row r="41" ht="20" customHeight="1">
      <c r="A41" s="5" t="inlineStr"/>
      <c r="B41" s="5" t="inlineStr">
        <is>
          <t>Anti-CD45-APC（clone 2B11+PD7/26）</t>
        </is>
      </c>
      <c r="C41" s="5" t="inlineStr">
        <is>
          <t>BioLegend / BD</t>
        </is>
      </c>
      <c r="D41" s="5" t="inlineStr">
        <is>
          <t>304012 / 560178</t>
        </is>
      </c>
      <c r="E41" s="5" t="inlineStr">
        <is>
          <t>100 μg / vial</t>
        </is>
      </c>
      <c r="F41" s="6" t="n">
        <v>3</v>
      </c>
      <c r="G41" s="5" t="inlineStr">
        <is>
          <t>vial</t>
        </is>
      </c>
      <c r="H41" s="7" t="n">
        <v>250</v>
      </c>
      <c r="I41" s="7">
        <f>F41*H41</f>
        <v/>
      </c>
      <c r="J41" s="8" t="inlineStr">
        <is>
          <t>WBC 排除標記；Direct APC conjugated</t>
        </is>
      </c>
    </row>
    <row r="42" ht="20" customHeight="1">
      <c r="A42" s="5" t="inlineStr"/>
      <c r="B42" s="5" t="inlineStr">
        <is>
          <t>Anti-Rabbit IgG H+L FITC（二級抗體）</t>
        </is>
      </c>
      <c r="C42" s="5" t="inlineStr">
        <is>
          <t>Jackson ImmunoResearch</t>
        </is>
      </c>
      <c r="D42" s="5" t="inlineStr">
        <is>
          <t>111-095-144</t>
        </is>
      </c>
      <c r="E42" s="5" t="inlineStr">
        <is>
          <t>1.5 mg / vial</t>
        </is>
      </c>
      <c r="F42" s="6" t="n">
        <v>2</v>
      </c>
      <c r="G42" s="5" t="inlineStr">
        <is>
          <t>vial</t>
        </is>
      </c>
      <c r="H42" s="7" t="n">
        <v>120</v>
      </c>
      <c r="I42" s="7">
        <f>F42*H42</f>
        <v/>
      </c>
      <c r="J42" s="8" t="inlineStr">
        <is>
          <t>僅 HER2 Indirect 策略時使用；若 Direct 策略則不需</t>
        </is>
      </c>
    </row>
    <row r="43" ht="20" customHeight="1">
      <c r="A43" s="5" t="inlineStr"/>
      <c r="B43" s="5" t="inlineStr">
        <is>
          <t>DAPI（4',6-Diamidino-2-phenylindole）</t>
        </is>
      </c>
      <c r="C43" s="5" t="inlineStr">
        <is>
          <t>Sigma-Aldrich</t>
        </is>
      </c>
      <c r="D43" s="5" t="inlineStr">
        <is>
          <t>D9542</t>
        </is>
      </c>
      <c r="E43" s="5" t="inlineStr">
        <is>
          <t>5 mg / vial</t>
        </is>
      </c>
      <c r="F43" s="6" t="n">
        <v>1</v>
      </c>
      <c r="G43" s="5" t="inlineStr">
        <is>
          <t>vial</t>
        </is>
      </c>
      <c r="H43" s="7" t="n">
        <v>55</v>
      </c>
      <c r="I43" s="7">
        <f>F43*H43</f>
        <v/>
      </c>
      <c r="J43" s="8" t="inlineStr">
        <is>
          <t>核染色；300 nM 工作濃度；5 mg 量極充裕</t>
        </is>
      </c>
    </row>
    <row r="44" ht="20" customHeight="1">
      <c r="A44" s="4" t="inlineStr">
        <is>
          <t>▌ ANA-004 染色試劑</t>
        </is>
      </c>
    </row>
    <row r="45" ht="20" customHeight="1">
      <c r="A45" s="9" t="inlineStr"/>
      <c r="B45" s="9" t="inlineStr">
        <is>
          <t>Paraformaldehyde 16% Solution（安瓿裝）</t>
        </is>
      </c>
      <c r="C45" s="9" t="inlineStr">
        <is>
          <t>Thermo / Alfa Aesar</t>
        </is>
      </c>
      <c r="D45" s="9" t="inlineStr">
        <is>
          <t>28908</t>
        </is>
      </c>
      <c r="E45" s="9" t="inlineStr">
        <is>
          <t>10×10 mL / 盒</t>
        </is>
      </c>
      <c r="F45" s="10" t="n">
        <v>3</v>
      </c>
      <c r="G45" s="9" t="inlineStr">
        <is>
          <t>盒</t>
        </is>
      </c>
      <c r="H45" s="11" t="n">
        <v>70</v>
      </c>
      <c r="I45" s="11">
        <f>F45*H45</f>
        <v/>
      </c>
      <c r="J45" s="12" t="inlineStr">
        <is>
          <t>稀釋成 4% PFA 固定液；通風櫥操作</t>
        </is>
      </c>
    </row>
    <row r="46" ht="20" customHeight="1">
      <c r="A46" s="9" t="inlineStr"/>
      <c r="B46" s="9" t="inlineStr">
        <is>
          <t>Triton X-100</t>
        </is>
      </c>
      <c r="C46" s="9" t="inlineStr">
        <is>
          <t>Sigma-Aldrich</t>
        </is>
      </c>
      <c r="D46" s="9" t="inlineStr">
        <is>
          <t>T8787</t>
        </is>
      </c>
      <c r="E46" s="9" t="inlineStr">
        <is>
          <t>100 mL / 瓶</t>
        </is>
      </c>
      <c r="F46" s="10" t="n">
        <v>1</v>
      </c>
      <c r="G46" s="9" t="inlineStr">
        <is>
          <t>瓶</t>
        </is>
      </c>
      <c r="H46" s="11" t="n">
        <v>35</v>
      </c>
      <c r="I46" s="11">
        <f>F46*H46</f>
        <v/>
      </c>
      <c r="J46" s="12" t="inlineStr">
        <is>
          <t>細胞穿透 0.1% in PBS；CK 細胞內染色必需</t>
        </is>
      </c>
    </row>
    <row r="47" ht="20" customHeight="1">
      <c r="A47" s="9" t="inlineStr"/>
      <c r="B47" s="9" t="inlineStr">
        <is>
          <t>Normal Goat Serum（阻斷血清）</t>
        </is>
      </c>
      <c r="C47" s="9" t="inlineStr">
        <is>
          <t>Jackson ImmunoResearch</t>
        </is>
      </c>
      <c r="D47" s="9" t="inlineStr">
        <is>
          <t>005-000-121</t>
        </is>
      </c>
      <c r="E47" s="9" t="inlineStr">
        <is>
          <t>10 mL / 瓶</t>
        </is>
      </c>
      <c r="F47" s="10" t="n">
        <v>2</v>
      </c>
      <c r="G47" s="9" t="inlineStr">
        <is>
          <t>瓶</t>
        </is>
      </c>
      <c r="H47" s="11" t="n">
        <v>32</v>
      </c>
      <c r="I47" s="11">
        <f>F47*H47</f>
        <v/>
      </c>
      <c r="J47" s="12" t="inlineStr">
        <is>
          <t>IF 阻斷 5%；Goat anti-rabbit 二級抗體搭配使用</t>
        </is>
      </c>
    </row>
    <row r="48" ht="20" customHeight="1">
      <c r="A48" s="9" t="inlineStr"/>
      <c r="B48" s="9" t="inlineStr">
        <is>
          <t>Fluoromount-G 抗淬滅封片液</t>
        </is>
      </c>
      <c r="C48" s="9" t="inlineStr">
        <is>
          <t>SouthernBiotech</t>
        </is>
      </c>
      <c r="D48" s="9" t="inlineStr">
        <is>
          <t>0100-01</t>
        </is>
      </c>
      <c r="E48" s="9" t="inlineStr">
        <is>
          <t>10 mL / 瓶</t>
        </is>
      </c>
      <c r="F48" s="10" t="n">
        <v>2</v>
      </c>
      <c r="G48" s="9" t="inlineStr">
        <is>
          <t>瓶</t>
        </is>
      </c>
      <c r="H48" s="11" t="n">
        <v>58</v>
      </c>
      <c r="I48" s="11">
        <f>F48*H48</f>
        <v/>
      </c>
      <c r="J48" s="12" t="inlineStr">
        <is>
          <t>含抗螢光淬滅劑；100 μL/slide × ~150 slides</t>
        </is>
      </c>
    </row>
    <row r="49" ht="20" customHeight="1">
      <c r="A49" s="9" t="inlineStr"/>
      <c r="B49" s="9" t="inlineStr">
        <is>
          <t>Poly-L-Lysine Solution（蓋玻片包覆）</t>
        </is>
      </c>
      <c r="C49" s="9" t="inlineStr">
        <is>
          <t>Sigma-Aldrich</t>
        </is>
      </c>
      <c r="D49" s="9" t="inlineStr">
        <is>
          <t>P8920</t>
        </is>
      </c>
      <c r="E49" s="9" t="inlineStr">
        <is>
          <t>100 mL / 瓶</t>
        </is>
      </c>
      <c r="F49" s="10" t="n">
        <v>1</v>
      </c>
      <c r="G49" s="9" t="inlineStr">
        <is>
          <t>瓶</t>
        </is>
      </c>
      <c r="H49" s="11" t="n">
        <v>40</v>
      </c>
      <c r="I49" s="11">
        <f>F49*H49</f>
        <v/>
      </c>
      <c r="J49" s="12" t="inlineStr">
        <is>
          <t>增加細胞貼附；情境 A 直接染色用</t>
        </is>
      </c>
    </row>
    <row r="50" ht="20" customHeight="1">
      <c r="A50" s="9" t="inlineStr"/>
      <c r="B50" s="9" t="inlineStr">
        <is>
          <t>PBS Tablets（IF 洗滌用）</t>
        </is>
      </c>
      <c r="C50" s="9" t="inlineStr">
        <is>
          <t>Sigma-Aldrich</t>
        </is>
      </c>
      <c r="D50" s="9" t="inlineStr">
        <is>
          <t>P4417</t>
        </is>
      </c>
      <c r="E50" s="9" t="inlineStr">
        <is>
          <t>100 tablets / 瓶</t>
        </is>
      </c>
      <c r="F50" s="10" t="n">
        <v>2</v>
      </c>
      <c r="G50" s="9" t="inlineStr">
        <is>
          <t>瓶</t>
        </is>
      </c>
      <c r="H50" s="11" t="n">
        <v>20</v>
      </c>
      <c r="I50" s="11">
        <f>F50*H50</f>
        <v/>
      </c>
      <c r="J50" s="12" t="inlineStr">
        <is>
          <t>方便配製 1× PBS 洗滌液</t>
        </is>
      </c>
    </row>
    <row r="51" ht="20" customHeight="1">
      <c r="A51" s="9" t="inlineStr"/>
      <c r="B51" s="9" t="inlineStr">
        <is>
          <t>指甲油（透明，封片邊緣用）</t>
        </is>
      </c>
      <c r="C51" s="9" t="inlineStr">
        <is>
          <t>市售</t>
        </is>
      </c>
      <c r="D51" s="9" t="inlineStr">
        <is>
          <t>—</t>
        </is>
      </c>
      <c r="E51" s="9" t="inlineStr">
        <is>
          <t>1 瓶</t>
        </is>
      </c>
      <c r="F51" s="10" t="n">
        <v>1</v>
      </c>
      <c r="G51" s="9" t="inlineStr">
        <is>
          <t>瓶</t>
        </is>
      </c>
      <c r="H51" s="11" t="n">
        <v>5</v>
      </c>
      <c r="I51" s="11">
        <f>F51*H51</f>
        <v/>
      </c>
      <c r="J51" s="12" t="inlineStr">
        <is>
          <t>封玻片邊緣固定；防止移動乾燥</t>
        </is>
      </c>
    </row>
    <row r="52" ht="20" customHeight="1">
      <c r="A52" s="4" t="inlineStr">
        <is>
          <t>▌ 耗材與消耗品</t>
        </is>
      </c>
    </row>
    <row r="53" ht="20" customHeight="1">
      <c r="A53" s="22" t="inlineStr"/>
      <c r="B53" s="22" t="inlineStr">
        <is>
          <t>K2-EDTA 採血管 10 mL（BD Vacutainer）</t>
        </is>
      </c>
      <c r="C53" s="22" t="inlineStr">
        <is>
          <t>BD</t>
        </is>
      </c>
      <c r="D53" s="22" t="inlineStr">
        <is>
          <t>367861</t>
        </is>
      </c>
      <c r="E53" s="22" t="inlineStr">
        <is>
          <t>100 支 / 盒</t>
        </is>
      </c>
      <c r="F53" s="23" t="n">
        <v>3</v>
      </c>
      <c r="G53" s="22" t="inlineStr">
        <is>
          <t>盒</t>
        </is>
      </c>
      <c r="H53" s="24" t="n">
        <v>55</v>
      </c>
      <c r="I53" s="24">
        <f>F53*H53</f>
        <v/>
      </c>
      <c r="J53" s="25" t="inlineStr">
        <is>
          <t>PRE-004 採樣；Phase 0.5 需 52+ 管</t>
        </is>
      </c>
    </row>
    <row r="54" ht="20" customHeight="1">
      <c r="A54" s="22" t="inlineStr"/>
      <c r="B54" s="22" t="inlineStr">
        <is>
          <t>50 mL 錐形管 Falcon Conical Tube</t>
        </is>
      </c>
      <c r="C54" s="22" t="inlineStr">
        <is>
          <t>Corning / Falcon</t>
        </is>
      </c>
      <c r="D54" s="22" t="inlineStr">
        <is>
          <t>352070</t>
        </is>
      </c>
      <c r="E54" s="22" t="inlineStr">
        <is>
          <t>50 支 / 包</t>
        </is>
      </c>
      <c r="F54" s="23" t="n">
        <v>10</v>
      </c>
      <c r="G54" s="22" t="inlineStr">
        <is>
          <t>包</t>
        </is>
      </c>
      <c r="H54" s="24" t="n">
        <v>20</v>
      </c>
      <c r="I54" s="24">
        <f>F54*H54</f>
        <v/>
      </c>
      <c r="J54" s="25" t="inlineStr">
        <is>
          <t>PRE-004 Ficoll/Buffy coat 分離；1–2 支/run</t>
        </is>
      </c>
    </row>
    <row r="55" ht="20" customHeight="1">
      <c r="A55" s="22" t="inlineStr"/>
      <c r="B55" s="22" t="inlineStr">
        <is>
          <t>15 mL 錐形管 Falcon Conical Tube</t>
        </is>
      </c>
      <c r="C55" s="22" t="inlineStr">
        <is>
          <t>Corning / Falcon</t>
        </is>
      </c>
      <c r="D55" s="22" t="inlineStr">
        <is>
          <t>352096</t>
        </is>
      </c>
      <c r="E55" s="22" t="inlineStr">
        <is>
          <t>50 支 / 包</t>
        </is>
      </c>
      <c r="F55" s="23" t="n">
        <v>10</v>
      </c>
      <c r="G55" s="22" t="inlineStr">
        <is>
          <t>包</t>
        </is>
      </c>
      <c r="H55" s="24" t="n">
        <v>15</v>
      </c>
      <c r="I55" s="24">
        <f>F55*H55</f>
        <v/>
      </c>
      <c r="J55" s="25" t="inlineStr">
        <is>
          <t>PBMC 洗滌、重懸；2–3 支/run</t>
        </is>
      </c>
    </row>
    <row r="56" ht="20" customHeight="1">
      <c r="A56" s="22" t="inlineStr"/>
      <c r="B56" s="22" t="inlineStr">
        <is>
          <t>1.5 mL 微量管 Eppendorf</t>
        </is>
      </c>
      <c r="C56" s="22" t="inlineStr">
        <is>
          <t>Eppendorf</t>
        </is>
      </c>
      <c r="D56" s="22" t="inlineStr">
        <is>
          <t>0030120086</t>
        </is>
      </c>
      <c r="E56" s="22" t="inlineStr">
        <is>
          <t>1000 支 / 盒</t>
        </is>
      </c>
      <c r="F56" s="23" t="n">
        <v>2</v>
      </c>
      <c r="G56" s="22" t="inlineStr">
        <is>
          <t>盒</t>
        </is>
      </c>
      <c r="H56" s="24" t="n">
        <v>25</v>
      </c>
      <c r="I56" s="24">
        <f>F56*H56</f>
        <v/>
      </c>
      <c r="J56" s="25" t="inlineStr">
        <is>
          <t>抗體配製、分裝</t>
        </is>
      </c>
    </row>
    <row r="57" ht="20" customHeight="1">
      <c r="A57" s="22" t="inlineStr"/>
      <c r="B57" s="22" t="inlineStr">
        <is>
          <t>40 μm 細胞篩網 Cell Strainer（Nylon）</t>
        </is>
      </c>
      <c r="C57" s="22" t="inlineStr">
        <is>
          <t>BD Falcon</t>
        </is>
      </c>
      <c r="D57" s="22" t="inlineStr">
        <is>
          <t>352340</t>
        </is>
      </c>
      <c r="E57" s="22" t="inlineStr">
        <is>
          <t>40 個 / 包</t>
        </is>
      </c>
      <c r="F57" s="23" t="n">
        <v>4</v>
      </c>
      <c r="G57" s="22" t="inlineStr">
        <is>
          <t>包</t>
        </is>
      </c>
      <c r="H57" s="24" t="n">
        <v>80</v>
      </c>
      <c r="I57" s="24">
        <f>F57*H57</f>
        <v/>
      </c>
      <c r="J57" s="25" t="inlineStr">
        <is>
          <t>ANA-001 Step 8.2；1 個/run × 100 runs = 4 包</t>
        </is>
      </c>
    </row>
    <row r="58" ht="20" customHeight="1">
      <c r="A58" s="22" t="inlineStr"/>
      <c r="B58" s="22" t="inlineStr">
        <is>
          <t>血清移液管 10 mL Serological Pipette</t>
        </is>
      </c>
      <c r="C58" s="22" t="inlineStr">
        <is>
          <t>Corning</t>
        </is>
      </c>
      <c r="D58" s="22" t="inlineStr">
        <is>
          <t>4488</t>
        </is>
      </c>
      <c r="E58" s="22" t="inlineStr">
        <is>
          <t>200 支 / 包</t>
        </is>
      </c>
      <c r="F58" s="23" t="n">
        <v>2</v>
      </c>
      <c r="G58" s="22" t="inlineStr">
        <is>
          <t>包</t>
        </is>
      </c>
      <c r="H58" s="24" t="n">
        <v>40</v>
      </c>
      <c r="I58" s="24">
        <f>F58*H58</f>
        <v/>
      </c>
      <c r="J58" s="25" t="inlineStr">
        <is>
          <t>PRE-004 Ficoll 分層、PBMC 收集</t>
        </is>
      </c>
    </row>
    <row r="59" ht="20" customHeight="1">
      <c r="A59" s="22" t="inlineStr"/>
      <c r="B59" s="22" t="inlineStr">
        <is>
          <t>血清移液管 25 mL Serological Pipette</t>
        </is>
      </c>
      <c r="C59" s="22" t="inlineStr">
        <is>
          <t>Corning</t>
        </is>
      </c>
      <c r="D59" s="22" t="inlineStr">
        <is>
          <t>4489</t>
        </is>
      </c>
      <c r="E59" s="22" t="inlineStr">
        <is>
          <t>100 支 / 包</t>
        </is>
      </c>
      <c r="F59" s="23" t="n">
        <v>2</v>
      </c>
      <c r="G59" s="22" t="inlineStr">
        <is>
          <t>包</t>
        </is>
      </c>
      <c r="H59" s="24" t="n">
        <v>50</v>
      </c>
      <c r="I59" s="24">
        <f>F59*H59</f>
        <v/>
      </c>
      <c r="J59" s="25" t="inlineStr">
        <is>
          <t>PRE-004 大體積操作</t>
        </is>
      </c>
    </row>
    <row r="60" ht="20" customHeight="1">
      <c r="A60" s="22" t="inlineStr"/>
      <c r="B60" s="22" t="inlineStr">
        <is>
          <t>血清移液管 5 mL Serological Pipette</t>
        </is>
      </c>
      <c r="C60" s="22" t="inlineStr">
        <is>
          <t>Corning</t>
        </is>
      </c>
      <c r="D60" s="22" t="inlineStr">
        <is>
          <t>4487</t>
        </is>
      </c>
      <c r="E60" s="22" t="inlineStr">
        <is>
          <t>200 支 / 包</t>
        </is>
      </c>
      <c r="F60" s="23" t="n">
        <v>1</v>
      </c>
      <c r="G60" s="22" t="inlineStr">
        <is>
          <t>包</t>
        </is>
      </c>
      <c r="H60" s="24" t="n">
        <v>35</v>
      </c>
      <c r="I60" s="24">
        <f>F60*H60</f>
        <v/>
      </c>
      <c r="J60" s="25" t="inlineStr">
        <is>
          <t>抗體配製小體積操作</t>
        </is>
      </c>
    </row>
    <row r="61" ht="20" customHeight="1">
      <c r="A61" s="22" t="inlineStr"/>
      <c r="B61" s="22" t="inlineStr">
        <is>
          <t>注射器 5 mL 滅菌（Luer Slip）</t>
        </is>
      </c>
      <c r="C61" s="22" t="inlineStr">
        <is>
          <t>BD / Terumo</t>
        </is>
      </c>
      <c r="D61" s="22" t="inlineStr">
        <is>
          <t>—</t>
        </is>
      </c>
      <c r="E61" s="22" t="inlineStr">
        <is>
          <t>100 支 / 盒</t>
        </is>
      </c>
      <c r="F61" s="23" t="n">
        <v>2</v>
      </c>
      <c r="G61" s="22" t="inlineStr">
        <is>
          <t>盒</t>
        </is>
      </c>
      <c r="H61" s="24" t="n">
        <v>30</v>
      </c>
      <c r="I61" s="24">
        <f>F61*H61</f>
        <v/>
      </c>
      <c r="J61" s="25" t="inlineStr">
        <is>
          <t>ANA-001 捕獲上機；1 支/run</t>
        </is>
      </c>
    </row>
    <row r="62" ht="20" customHeight="1">
      <c r="A62" s="22" t="inlineStr"/>
      <c r="B62" s="22" t="inlineStr">
        <is>
          <t>注射器 10 mL 滅菌</t>
        </is>
      </c>
      <c r="C62" s="22" t="inlineStr">
        <is>
          <t>BD / Terumo</t>
        </is>
      </c>
      <c r="D62" s="22" t="inlineStr">
        <is>
          <t>—</t>
        </is>
      </c>
      <c r="E62" s="22" t="inlineStr">
        <is>
          <t>100 支 / 盒</t>
        </is>
      </c>
      <c r="F62" s="23" t="n">
        <v>1</v>
      </c>
      <c r="G62" s="22" t="inlineStr">
        <is>
          <t>盒</t>
        </is>
      </c>
      <c r="H62" s="24" t="n">
        <v>35</v>
      </c>
      <c r="I62" s="24">
        <f>F62*H62</f>
        <v/>
      </c>
      <c r="J62" s="25" t="inlineStr">
        <is>
          <t>大體積洗滌緩衝液上機</t>
        </is>
      </c>
    </row>
    <row r="63" ht="20" customHeight="1">
      <c r="A63" s="22" t="inlineStr"/>
      <c r="B63" s="22" t="inlineStr">
        <is>
          <t>針頭 21G（Luer Lock）</t>
        </is>
      </c>
      <c r="C63" s="22" t="inlineStr">
        <is>
          <t>BD</t>
        </is>
      </c>
      <c r="D63" s="22" t="inlineStr">
        <is>
          <t>305167</t>
        </is>
      </c>
      <c r="E63" s="22" t="inlineStr">
        <is>
          <t>100 支 / 盒</t>
        </is>
      </c>
      <c r="F63" s="23" t="n">
        <v>2</v>
      </c>
      <c r="G63" s="22" t="inlineStr">
        <is>
          <t>盒</t>
        </is>
      </c>
      <c r="H63" s="24" t="n">
        <v>15</v>
      </c>
      <c r="I63" s="24">
        <f>F63*H63</f>
        <v/>
      </c>
      <c r="J63" s="25" t="inlineStr">
        <is>
          <t>注射器接晶片管連結</t>
        </is>
      </c>
    </row>
    <row r="64" ht="20" customHeight="1">
      <c r="A64" s="22" t="inlineStr"/>
      <c r="B64" s="22" t="inlineStr">
        <is>
          <t>矽膠管 Silicone Tubing（晶片連接）</t>
        </is>
      </c>
      <c r="C64" s="22" t="inlineStr">
        <is>
          <t>Cole-Parmer</t>
        </is>
      </c>
      <c r="D64" s="22" t="inlineStr">
        <is>
          <t>—</t>
        </is>
      </c>
      <c r="E64" s="22" t="inlineStr">
        <is>
          <t>1 m / 段</t>
        </is>
      </c>
      <c r="F64" s="23" t="n">
        <v>5</v>
      </c>
      <c r="G64" s="22" t="inlineStr">
        <is>
          <t>段</t>
        </is>
      </c>
      <c r="H64" s="23" t="n"/>
      <c r="I64" s="26" t="inlineStr">
        <is>
          <t>—（待詢價）</t>
        </is>
      </c>
      <c r="J64" s="25" t="inlineStr">
        <is>
          <t>規格依晶片設計；先空白待確認</t>
        </is>
      </c>
    </row>
    <row r="65" ht="20" customHeight="1">
      <c r="A65" s="22" t="inlineStr"/>
      <c r="B65" s="22" t="inlineStr">
        <is>
          <t>蓋玻片 #1.5（22×22 mm）</t>
        </is>
      </c>
      <c r="C65" s="22" t="inlineStr">
        <is>
          <t>VWR / Corning</t>
        </is>
      </c>
      <c r="D65" s="22" t="inlineStr">
        <is>
          <t>—</t>
        </is>
      </c>
      <c r="E65" s="22" t="inlineStr">
        <is>
          <t>200 片 / 盒</t>
        </is>
      </c>
      <c r="F65" s="23" t="n">
        <v>3</v>
      </c>
      <c r="G65" s="22" t="inlineStr">
        <is>
          <t>盒</t>
        </is>
      </c>
      <c r="H65" s="24" t="n">
        <v>30</v>
      </c>
      <c r="I65" s="24">
        <f>F65*H65</f>
        <v/>
      </c>
      <c r="J65" s="25" t="inlineStr">
        <is>
          <t>ANA-004 封片；IF 標準規格</t>
        </is>
      </c>
    </row>
    <row r="66" ht="20" customHeight="1">
      <c r="A66" s="22" t="inlineStr"/>
      <c r="B66" s="22" t="inlineStr">
        <is>
          <t>載玻片 Frosted Glass Slides</t>
        </is>
      </c>
      <c r="C66" s="22" t="inlineStr">
        <is>
          <t>Fisher / VWR</t>
        </is>
      </c>
      <c r="D66" s="22" t="inlineStr">
        <is>
          <t>—</t>
        </is>
      </c>
      <c r="E66" s="22" t="inlineStr">
        <is>
          <t>72 片 / 盒</t>
        </is>
      </c>
      <c r="F66" s="23" t="n">
        <v>2</v>
      </c>
      <c r="G66" s="22" t="inlineStr">
        <is>
          <t>盒</t>
        </is>
      </c>
      <c r="H66" s="24" t="n">
        <v>25</v>
      </c>
      <c r="I66" s="24">
        <f>F66*H66</f>
        <v/>
      </c>
      <c r="J66" s="25" t="inlineStr">
        <is>
          <t>情境 A 直接染色用</t>
        </is>
      </c>
    </row>
    <row r="67" ht="20" customHeight="1">
      <c r="A67" s="22" t="inlineStr"/>
      <c r="B67" s="22" t="inlineStr">
        <is>
          <t>Hemocytometer 血球計數板</t>
        </is>
      </c>
      <c r="C67" s="22" t="inlineStr">
        <is>
          <t>Brand Scientific</t>
        </is>
      </c>
      <c r="D67" s="22" t="inlineStr">
        <is>
          <t>—</t>
        </is>
      </c>
      <c r="E67" s="22" t="inlineStr">
        <is>
          <t>1 個</t>
        </is>
      </c>
      <c r="F67" s="23" t="n">
        <v>1</v>
      </c>
      <c r="G67" s="22" t="inlineStr">
        <is>
          <t>個</t>
        </is>
      </c>
      <c r="H67" s="24" t="n">
        <v>80</v>
      </c>
      <c r="I67" s="24">
        <f>F67*H67</f>
        <v/>
      </c>
      <c r="J67" s="25" t="inlineStr">
        <is>
          <t>PBMC 手動計數；一次性投資</t>
        </is>
      </c>
    </row>
    <row r="68" ht="20" customHeight="1">
      <c r="A68" s="22" t="inlineStr"/>
      <c r="B68" s="22" t="inlineStr">
        <is>
          <t>濕盒 Humidity Chamber（IF 孵育保濕用）</t>
        </is>
      </c>
      <c r="C68" s="22" t="inlineStr">
        <is>
          <t>DIY 或購買</t>
        </is>
      </c>
      <c r="D68" s="22" t="inlineStr">
        <is>
          <t>—</t>
        </is>
      </c>
      <c r="E68" s="22" t="inlineStr">
        <is>
          <t>1 個</t>
        </is>
      </c>
      <c r="F68" s="23" t="n">
        <v>2</v>
      </c>
      <c r="G68" s="22" t="inlineStr">
        <is>
          <t>個</t>
        </is>
      </c>
      <c r="H68" s="24" t="n">
        <v>30</v>
      </c>
      <c r="I68" s="24">
        <f>F68*H68</f>
        <v/>
      </c>
      <c r="J68" s="25" t="inlineStr">
        <is>
          <t>ANA-004 抗體孵育</t>
        </is>
      </c>
    </row>
    <row r="69" ht="20" customHeight="1">
      <c r="A69" s="22" t="inlineStr"/>
      <c r="B69" s="22" t="inlineStr">
        <is>
          <t>Parafilm M</t>
        </is>
      </c>
      <c r="C69" s="22" t="inlineStr">
        <is>
          <t>Sigma / VWR</t>
        </is>
      </c>
      <c r="D69" s="22" t="inlineStr">
        <is>
          <t>P7793</t>
        </is>
      </c>
      <c r="E69" s="22" t="inlineStr">
        <is>
          <t>1 roll (50 m×4")</t>
        </is>
      </c>
      <c r="F69" s="23" t="inlineStr">
        <is>
          <t>1</t>
        </is>
      </c>
      <c r="G69" s="22" t="inlineStr">
        <is>
          <t>roll</t>
        </is>
      </c>
      <c r="H69" s="24" t="n">
        <v>22</v>
      </c>
      <c r="I69" s="24">
        <f>F69*H69</f>
        <v/>
      </c>
      <c r="J69" s="25" t="inlineStr">
        <is>
          <t>密封孵育</t>
        </is>
      </c>
    </row>
    <row r="70" ht="20" customHeight="1">
      <c r="A70" s="22" t="inlineStr"/>
      <c r="B70" s="22" t="inlineStr">
        <is>
          <t>丁腈手套 Nitrile Gloves</t>
        </is>
      </c>
      <c r="C70" s="22" t="inlineStr">
        <is>
          <t>VWR / local</t>
        </is>
      </c>
      <c r="D70" s="22" t="inlineStr">
        <is>
          <t>—</t>
        </is>
      </c>
      <c r="E70" s="22" t="inlineStr">
        <is>
          <t>100 支 / 盒</t>
        </is>
      </c>
      <c r="F70" s="23" t="n">
        <v>6</v>
      </c>
      <c r="G70" s="22" t="inlineStr">
        <is>
          <t>盒</t>
        </is>
      </c>
      <c r="H70" s="24" t="n">
        <v>15</v>
      </c>
      <c r="I70" s="24">
        <f>F70*H70</f>
        <v/>
      </c>
      <c r="J70" s="25" t="inlineStr">
        <is>
          <t>BSL-2 操作；雙層</t>
        </is>
      </c>
    </row>
    <row r="71" ht="20" customHeight="1">
      <c r="A71" s="22" t="inlineStr"/>
      <c r="B71" s="22" t="inlineStr">
        <is>
          <t>吸量管 Tips 1000 μL（低結合）</t>
        </is>
      </c>
      <c r="C71" s="22" t="inlineStr">
        <is>
          <t>Rainin / Eppendorf</t>
        </is>
      </c>
      <c r="D71" s="22" t="inlineStr">
        <is>
          <t>—</t>
        </is>
      </c>
      <c r="E71" s="22" t="inlineStr">
        <is>
          <t>96 個 / 架</t>
        </is>
      </c>
      <c r="F71" s="23" t="n">
        <v>8</v>
      </c>
      <c r="G71" s="22" t="inlineStr">
        <is>
          <t>架</t>
        </is>
      </c>
      <c r="H71" s="24" t="n">
        <v>12</v>
      </c>
      <c r="I71" s="24">
        <f>F71*H71</f>
        <v/>
      </c>
      <c r="J71" s="25" t="inlineStr">
        <is>
          <t>蛋白質 / 抗體操作</t>
        </is>
      </c>
    </row>
    <row r="72" ht="20" customHeight="1">
      <c r="A72" s="22" t="inlineStr"/>
      <c r="B72" s="22" t="inlineStr">
        <is>
          <t>吸量管 Tips 200 μL（低結合）</t>
        </is>
      </c>
      <c r="C72" s="22" t="inlineStr">
        <is>
          <t>Rainin / Eppendorf</t>
        </is>
      </c>
      <c r="D72" s="22" t="inlineStr">
        <is>
          <t>—</t>
        </is>
      </c>
      <c r="E72" s="22" t="inlineStr">
        <is>
          <t>96 個 / 架</t>
        </is>
      </c>
      <c r="F72" s="23" t="n">
        <v>6</v>
      </c>
      <c r="G72" s="22" t="inlineStr">
        <is>
          <t>架</t>
        </is>
      </c>
      <c r="H72" s="24" t="n">
        <v>10</v>
      </c>
      <c r="I72" s="24">
        <f>F72*H72</f>
        <v/>
      </c>
      <c r="J72" s="25" t="inlineStr"/>
    </row>
    <row r="73" ht="20" customHeight="1">
      <c r="A73" s="22" t="inlineStr"/>
      <c r="B73" s="22" t="inlineStr">
        <is>
          <t>吸量管 Tips 20 μL（低結合）</t>
        </is>
      </c>
      <c r="C73" s="22" t="inlineStr">
        <is>
          <t>Rainin / Eppendorf</t>
        </is>
      </c>
      <c r="D73" s="22" t="inlineStr">
        <is>
          <t>—</t>
        </is>
      </c>
      <c r="E73" s="22" t="inlineStr">
        <is>
          <t>96 個 / 架</t>
        </is>
      </c>
      <c r="F73" s="23" t="n">
        <v>4</v>
      </c>
      <c r="G73" s="22" t="inlineStr">
        <is>
          <t>架</t>
        </is>
      </c>
      <c r="H73" s="24" t="n">
        <v>10</v>
      </c>
      <c r="I73" s="24">
        <f>F73*H73</f>
        <v/>
      </c>
      <c r="J73" s="25" t="inlineStr">
        <is>
          <t>抗體 20 μL cocktail 量取精準用</t>
        </is>
      </c>
    </row>
    <row r="74" ht="20" customHeight="1">
      <c r="A74" s="22" t="inlineStr"/>
      <c r="B74" s="22" t="inlineStr">
        <is>
          <t>微流道捕獲晶片（SA 包覆，自建）</t>
        </is>
      </c>
      <c r="C74" s="22" t="inlineStr">
        <is>
          <t>Lab-built（依 ANA-002）</t>
        </is>
      </c>
      <c r="D74" s="22" t="inlineStr">
        <is>
          <t>—</t>
        </is>
      </c>
      <c r="E74" s="22" t="inlineStr">
        <is>
          <t>per chip</t>
        </is>
      </c>
      <c r="F74" s="23" t="n">
        <v>150</v>
      </c>
      <c r="G74" s="22" t="inlineStr">
        <is>
          <t>個</t>
        </is>
      </c>
      <c r="H74" s="23" t="n"/>
      <c r="I74" s="26" t="inlineStr">
        <is>
          <t>—（待詢價）</t>
        </is>
      </c>
      <c r="J74" s="25" t="inlineStr">
        <is>
          <t>原料成本依 ANA-002 規格確定後補充</t>
        </is>
      </c>
    </row>
    <row r="75" ht="20" customHeight="1">
      <c r="A75" s="22" t="inlineStr"/>
      <c r="B75" s="22" t="inlineStr">
        <is>
          <t>Streptavidin（晶片製備原料）</t>
        </is>
      </c>
      <c r="C75" s="22" t="inlineStr">
        <is>
          <t>Thermo Fisher</t>
        </is>
      </c>
      <c r="D75" s="22" t="inlineStr">
        <is>
          <t>434301</t>
        </is>
      </c>
      <c r="E75" s="22" t="inlineStr">
        <is>
          <t>1 mg / vial</t>
        </is>
      </c>
      <c r="F75" s="23" t="n">
        <v>5</v>
      </c>
      <c r="G75" s="22" t="inlineStr">
        <is>
          <t>vial</t>
        </is>
      </c>
      <c r="H75" s="24" t="n">
        <v>120</v>
      </c>
      <c r="I75" s="24">
        <f>F75*H75</f>
        <v/>
      </c>
      <c r="J75" s="25" t="inlineStr">
        <is>
          <t>SA 晶片包覆用；用量依 ANA-002 規格</t>
        </is>
      </c>
    </row>
    <row r="76" ht="20" customHeight="1">
      <c r="A76" s="22" t="inlineStr"/>
      <c r="B76" s="22" t="inlineStr">
        <is>
          <t>Microfluidic chip 基材（PDMS / PC 膜等）</t>
        </is>
      </c>
      <c r="C76" s="22" t="inlineStr">
        <is>
          <t>Sylgard / 自採</t>
        </is>
      </c>
      <c r="D76" s="22" t="inlineStr">
        <is>
          <t>—</t>
        </is>
      </c>
      <c r="E76" s="22" t="inlineStr">
        <is>
          <t>per batch</t>
        </is>
      </c>
      <c r="F76" s="23" t="n">
        <v>5</v>
      </c>
      <c r="G76" s="22" t="inlineStr">
        <is>
          <t>批</t>
        </is>
      </c>
      <c r="H76" s="23" t="n"/>
      <c r="I76" s="26" t="inlineStr">
        <is>
          <t>—（待詢價）</t>
        </is>
      </c>
      <c r="J76" s="25" t="inlineStr">
        <is>
          <t>依晶片設計確定後補充單價</t>
        </is>
      </c>
    </row>
    <row r="77" ht="20" customHeight="1">
      <c r="A77" s="4" t="inlineStr">
        <is>
          <t>▌ 儀器設備</t>
        </is>
      </c>
    </row>
    <row r="78" ht="20" customHeight="1">
      <c r="A78" s="13" t="inlineStr"/>
      <c r="B78" s="13" t="inlineStr">
        <is>
          <t>Tube Rotator / Rotisserie Mixer</t>
        </is>
      </c>
      <c r="C78" s="13" t="inlineStr">
        <is>
          <t>Thermo / Stuart</t>
        </is>
      </c>
      <c r="D78" s="13" t="inlineStr">
        <is>
          <t>—</t>
        </is>
      </c>
      <c r="E78" s="13" t="inlineStr">
        <is>
          <t>1 台</t>
        </is>
      </c>
      <c r="F78" s="14" t="n">
        <v>1</v>
      </c>
      <c r="G78" s="13" t="inlineStr">
        <is>
          <t>台</t>
        </is>
      </c>
      <c r="H78" s="15" t="n">
        <v>350</v>
      </c>
      <c r="I78" s="15">
        <f>F78*H78</f>
        <v/>
      </c>
      <c r="J78" s="16" t="inlineStr">
        <is>
          <t>ANA-001 抗體孵育 10–15 rpm；必須</t>
        </is>
      </c>
    </row>
    <row r="79" ht="20" customHeight="1">
      <c r="A79" s="13" t="inlineStr"/>
      <c r="B79" s="13" t="inlineStr">
        <is>
          <t>Syringe Pump 注射泵</t>
        </is>
      </c>
      <c r="C79" s="13" t="inlineStr">
        <is>
          <t>Harvard Apparatus / KD Scientific</t>
        </is>
      </c>
      <c r="D79" s="13" t="inlineStr">
        <is>
          <t>—</t>
        </is>
      </c>
      <c r="E79" s="13" t="inlineStr">
        <is>
          <t>1 台</t>
        </is>
      </c>
      <c r="F79" s="14" t="n">
        <v>1</v>
      </c>
      <c r="G79" s="13" t="inlineStr">
        <is>
          <t>台</t>
        </is>
      </c>
      <c r="H79" s="14" t="n"/>
      <c r="I79" s="27" t="inlineStr">
        <is>
          <t>—（待詢價）</t>
        </is>
      </c>
      <c r="J79" s="16" t="inlineStr">
        <is>
          <t>ANA-001 流速 Q_std = 1.5 mL/min；如無則購置約 USD 2,000–5,000</t>
        </is>
      </c>
    </row>
    <row r="80" ht="20" customHeight="1">
      <c r="A80" s="13" t="inlineStr"/>
      <c r="B80" s="13" t="inlineStr">
        <is>
          <t>LUNA-FL 自動細胞計數器（選購）</t>
        </is>
      </c>
      <c r="C80" s="13" t="inlineStr">
        <is>
          <t>Logos Biosystems</t>
        </is>
      </c>
      <c r="D80" s="13" t="inlineStr">
        <is>
          <t>L20001</t>
        </is>
      </c>
      <c r="E80" s="13" t="inlineStr">
        <is>
          <t>1 台</t>
        </is>
      </c>
      <c r="F80" s="14" t="n">
        <v>1</v>
      </c>
      <c r="G80" s="13" t="inlineStr">
        <is>
          <t>台</t>
        </is>
      </c>
      <c r="H80" s="14" t="n"/>
      <c r="I80" s="27" t="inlineStr">
        <is>
          <t>—（待詢價）</t>
        </is>
      </c>
      <c r="J80" s="16" t="inlineStr">
        <is>
          <t>可替代手動 Hemocytometer；提升通量；約 USD 10,000</t>
        </is>
      </c>
    </row>
    <row r="81" ht="20" customHeight="1">
      <c r="A81" s="13" t="inlineStr"/>
      <c r="B81" s="13" t="inlineStr">
        <is>
          <t>螢光顯微鏡 4 通道（DAPI/FITC/PE/APC）</t>
        </is>
      </c>
      <c r="C81" s="13" t="inlineStr">
        <is>
          <t>Zeiss / Olympus / Nikon</t>
        </is>
      </c>
      <c r="D81" s="13" t="inlineStr">
        <is>
          <t>—</t>
        </is>
      </c>
      <c r="E81" s="13" t="inlineStr">
        <is>
          <t>1 台</t>
        </is>
      </c>
      <c r="F81" s="14" t="n">
        <v>1</v>
      </c>
      <c r="G81" s="13" t="inlineStr">
        <is>
          <t>台</t>
        </is>
      </c>
      <c r="H81" s="14" t="n"/>
      <c r="I81" s="27" t="inlineStr">
        <is>
          <t>—（待詢價）</t>
        </is>
      </c>
      <c r="J81" s="16" t="inlineStr">
        <is>
          <t>最大投資項；如無則約 USD 50,000–150,000</t>
        </is>
      </c>
    </row>
    <row r="82" ht="20" customHeight="1">
      <c r="A82" s="13" t="inlineStr"/>
      <c r="B82" s="13" t="inlineStr">
        <is>
          <t>生物安全操作台 Class II Type A2</t>
        </is>
      </c>
      <c r="C82" s="13" t="inlineStr">
        <is>
          <t>ESCO / Thermo</t>
        </is>
      </c>
      <c r="D82" s="13" t="inlineStr">
        <is>
          <t>—</t>
        </is>
      </c>
      <c r="E82" s="13" t="inlineStr">
        <is>
          <t>1 台</t>
        </is>
      </c>
      <c r="F82" s="14" t="n">
        <v>1</v>
      </c>
      <c r="G82" s="13" t="inlineStr">
        <is>
          <t>台</t>
        </is>
      </c>
      <c r="H82" s="14" t="n"/>
      <c r="I82" s="27" t="inlineStr">
        <is>
          <t>—（待詢價）</t>
        </is>
      </c>
      <c r="J82" s="16" t="inlineStr">
        <is>
          <t>BSL-2 必備；如已有則跳過</t>
        </is>
      </c>
    </row>
    <row r="83" ht="20" customHeight="1">
      <c r="A83" s="13" t="inlineStr"/>
      <c r="B83" s="13" t="inlineStr">
        <is>
          <t>CO2 細胞培養箱 37°C 5% CO2</t>
        </is>
      </c>
      <c r="C83" s="13" t="inlineStr">
        <is>
          <t>Thermo / Eppendorf</t>
        </is>
      </c>
      <c r="D83" s="13" t="inlineStr">
        <is>
          <t>—</t>
        </is>
      </c>
      <c r="E83" s="13" t="inlineStr">
        <is>
          <t>1 台</t>
        </is>
      </c>
      <c r="F83" s="14" t="n">
        <v>1</v>
      </c>
      <c r="G83" s="13" t="inlineStr">
        <is>
          <t>台</t>
        </is>
      </c>
      <c r="H83" s="14" t="n"/>
      <c r="I83" s="27" t="inlineStr">
        <is>
          <t>—（待詢價）</t>
        </is>
      </c>
      <c r="J83" s="16" t="inlineStr">
        <is>
          <t>如已有則跳過</t>
        </is>
      </c>
    </row>
    <row r="84" ht="20" customHeight="1">
      <c r="A84" s="13" t="inlineStr"/>
      <c r="B84" s="13" t="inlineStr">
        <is>
          <t>Swing-Bucket 離心機（支援 Brake = 0）</t>
        </is>
      </c>
      <c r="C84" s="13" t="inlineStr">
        <is>
          <t>Eppendorf / Beckman</t>
        </is>
      </c>
      <c r="D84" s="13" t="inlineStr">
        <is>
          <t>—</t>
        </is>
      </c>
      <c r="E84" s="13" t="inlineStr">
        <is>
          <t>1 台</t>
        </is>
      </c>
      <c r="F84" s="14" t="n">
        <v>1</v>
      </c>
      <c r="G84" s="13" t="inlineStr">
        <is>
          <t>台</t>
        </is>
      </c>
      <c r="H84" s="14" t="n"/>
      <c r="I84" s="27" t="inlineStr">
        <is>
          <t>—（待詢價）</t>
        </is>
      </c>
      <c r="J84" s="16" t="inlineStr">
        <is>
          <t>PRE-004 Ficoll 必須支援 Brake = 0</t>
        </is>
      </c>
    </row>
    <row r="86" ht="28" customHeight="1">
      <c r="A86" s="28" t="inlineStr">
        <is>
          <t>✦ 合計（已知單價項目加總；空白項另計）</t>
        </is>
      </c>
      <c r="I86" s="29">
        <f>SUMIF(I5:I84,"&lt;&gt;—（待詢價）",I5:I84)</f>
        <v/>
      </c>
    </row>
    <row r="87" ht="55" customHeight="1">
      <c r="A87" s="30" t="inlineStr">
        <is>
          <t>⚠️ 重要備注：① 標記「待詢價」的項目（儀器設備、晶片原料、矽膠管等）未計入合計，需另行詢價。 ② 捕獲抗體（BAF960/1129/231）的用量在 Phase 1 P1-Test 1 最佳化後可能大幅調整。 ③ 儀器設備（顯微鏡、離心機、培養箱）視現有設備而定，若已有則此類不需購置。 ④ 所有單價為 USD 市場參考價（2024–2025 年），可能因供應商報價、時間、批量折扣而異。 ⑤ 細胞株 ATCC 價格含美國境內運費；若在台灣/亞太區購買，需加計關稅及代理商費用（約 +30–50%）。</t>
        </is>
      </c>
    </row>
  </sheetData>
  <mergeCells count="12">
    <mergeCell ref="A1:J1"/>
    <mergeCell ref="A2:J2"/>
    <mergeCell ref="A5:J5"/>
    <mergeCell ref="A12:J12"/>
    <mergeCell ref="A27:J27"/>
    <mergeCell ref="A33:J33"/>
    <mergeCell ref="A37:J37"/>
    <mergeCell ref="A44:J44"/>
    <mergeCell ref="A52:J52"/>
    <mergeCell ref="A77:J77"/>
    <mergeCell ref="A86:H86"/>
    <mergeCell ref="A87:J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70" customWidth="1" min="3" max="3"/>
    <col width="15" customWidth="1" min="4" max="4"/>
  </cols>
  <sheetData>
    <row r="1">
      <c r="A1" s="31" t="inlineStr">
        <is>
          <t>版本</t>
        </is>
      </c>
      <c r="B1" s="31" t="inlineStr">
        <is>
          <t>日期</t>
        </is>
      </c>
      <c r="C1" s="31" t="inlineStr">
        <is>
          <t>修改說明</t>
        </is>
      </c>
      <c r="D1" s="31" t="inlineStr">
        <is>
          <t>修改者</t>
        </is>
      </c>
    </row>
    <row r="2">
      <c r="A2" t="inlineStr">
        <is>
          <t>v1.0</t>
        </is>
      </c>
      <c r="B2" t="inlineStr">
        <is>
          <t>2026-05-24</t>
        </is>
      </c>
      <c r="C2" t="inlineStr">
        <is>
          <t>初版建立；涵蓋 PRE-004/ANA-001/ANA-004 三個 Stage 所有驗證用材料</t>
        </is>
      </c>
      <c r="D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2026-05-24T07:25:56Z</dcterms:created>
  <dcterms:modified xmlns:dcterms="http://purl.org/dc/terms/" xmlns:xsi="http://www.w3.org/2001/XMLSchema-instance" xsi:type="dcterms:W3CDTF">2026-05-24T07:25:56Z</dcterms:modified>
</cp:coreProperties>
</file>